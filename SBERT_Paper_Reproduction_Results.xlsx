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 11\Desktop\"/>
    </mc:Choice>
  </mc:AlternateContent>
  <xr:revisionPtr revIDLastSave="0" documentId="13_ncr:1_{49CD7F80-7E11-46FD-8269-21DE820C7C59}" xr6:coauthVersionLast="47" xr6:coauthVersionMax="47" xr10:uidLastSave="{00000000-0000-0000-0000-000000000000}"/>
  <bookViews>
    <workbookView xWindow="11424" yWindow="0" windowWidth="11712" windowHeight="12336" tabRatio="500" firstSheet="4" activeTab="4" xr2:uid="{00000000-000D-0000-FFFF-FFFF00000000}"/>
  </bookViews>
  <sheets>
    <sheet name="Summary" sheetId="1" r:id="rId1"/>
    <sheet name="Table1_STS_Unsupervised" sheetId="2" r:id="rId2"/>
    <sheet name="Table2_STSb_Supervised" sheetId="3" r:id="rId3"/>
    <sheet name="Table2_Seeds" sheetId="4" r:id="rId4"/>
    <sheet name="Table3_AFS" sheetId="5" r:id="rId5"/>
    <sheet name="Table4_WikiSec" sheetId="6" r:id="rId6"/>
    <sheet name="Table5_SentEval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7" i="7" l="1"/>
  <c r="H7" i="7"/>
  <c r="G7" i="7"/>
  <c r="F7" i="7"/>
  <c r="E7" i="7"/>
  <c r="D7" i="7"/>
  <c r="C7" i="7"/>
  <c r="B7" i="7"/>
  <c r="I6" i="7"/>
  <c r="I5" i="7"/>
  <c r="B7" i="6"/>
  <c r="C29" i="5"/>
  <c r="B29" i="5"/>
  <c r="C22" i="5"/>
  <c r="B22" i="5"/>
  <c r="C21" i="5"/>
  <c r="B21" i="5"/>
  <c r="F6" i="5"/>
  <c r="G6" i="5" s="1"/>
  <c r="C6" i="5"/>
  <c r="D12" i="1" s="1"/>
  <c r="E12" i="1" s="1"/>
  <c r="G5" i="5"/>
  <c r="F5" i="5"/>
  <c r="D5" i="5"/>
  <c r="C5" i="5"/>
  <c r="D70" i="4"/>
  <c r="C70" i="4"/>
  <c r="D69" i="4"/>
  <c r="C69" i="4"/>
  <c r="D68" i="4"/>
  <c r="C68" i="4"/>
  <c r="E67" i="4"/>
  <c r="D67" i="4"/>
  <c r="C67" i="4"/>
  <c r="D53" i="4"/>
  <c r="C53" i="4"/>
  <c r="D52" i="4"/>
  <c r="C52" i="4"/>
  <c r="D51" i="4"/>
  <c r="C51" i="4"/>
  <c r="E50" i="4"/>
  <c r="D50" i="4"/>
  <c r="C50" i="4"/>
  <c r="D36" i="4"/>
  <c r="C36" i="4"/>
  <c r="D35" i="4"/>
  <c r="C35" i="4"/>
  <c r="D34" i="4"/>
  <c r="C34" i="4"/>
  <c r="E33" i="4"/>
  <c r="D33" i="4"/>
  <c r="C33" i="4"/>
  <c r="D19" i="4"/>
  <c r="C19" i="4"/>
  <c r="D18" i="4"/>
  <c r="C18" i="4"/>
  <c r="D17" i="4"/>
  <c r="C17" i="4"/>
  <c r="E16" i="4"/>
  <c r="D16" i="4"/>
  <c r="C16" i="4"/>
  <c r="G8" i="3"/>
  <c r="F8" i="3"/>
  <c r="E8" i="3"/>
  <c r="F7" i="3"/>
  <c r="E7" i="3"/>
  <c r="D9" i="1" s="1"/>
  <c r="E9" i="1" s="1"/>
  <c r="F6" i="3"/>
  <c r="E6" i="3"/>
  <c r="D8" i="1" s="1"/>
  <c r="E8" i="1" s="1"/>
  <c r="G5" i="3"/>
  <c r="F5" i="3"/>
  <c r="E5" i="3"/>
  <c r="G12" i="2"/>
  <c r="F12" i="2"/>
  <c r="E12" i="2"/>
  <c r="C12" i="2"/>
  <c r="D5" i="1" s="1"/>
  <c r="G11" i="2"/>
  <c r="D11" i="2"/>
  <c r="G10" i="2"/>
  <c r="D10" i="2"/>
  <c r="G9" i="2"/>
  <c r="D9" i="2"/>
  <c r="G8" i="2"/>
  <c r="D8" i="2"/>
  <c r="G7" i="2"/>
  <c r="D7" i="2"/>
  <c r="G6" i="2"/>
  <c r="D6" i="2"/>
  <c r="G5" i="2"/>
  <c r="D5" i="2"/>
  <c r="D14" i="1"/>
  <c r="E14" i="1" s="1"/>
  <c r="C14" i="1"/>
  <c r="E13" i="1"/>
  <c r="D13" i="1"/>
  <c r="C13" i="1"/>
  <c r="C12" i="1"/>
  <c r="D11" i="1"/>
  <c r="E11" i="1" s="1"/>
  <c r="C11" i="1"/>
  <c r="D10" i="1"/>
  <c r="E10" i="1" s="1"/>
  <c r="C10" i="1"/>
  <c r="C9" i="1"/>
  <c r="C8" i="1"/>
  <c r="D7" i="1"/>
  <c r="E7" i="1" s="1"/>
  <c r="C7" i="1"/>
  <c r="D6" i="1"/>
  <c r="E6" i="1" s="1"/>
  <c r="C6" i="1"/>
  <c r="C5" i="1"/>
  <c r="E5" i="1" l="1"/>
  <c r="D6" i="5"/>
  <c r="G6" i="3"/>
  <c r="D12" i="2"/>
  <c r="G7" i="3"/>
</calcChain>
</file>

<file path=xl/sharedStrings.xml><?xml version="1.0" encoding="utf-8"?>
<sst xmlns="http://schemas.openxmlformats.org/spreadsheetml/2006/main" count="151" uniqueCount="104">
  <si>
    <t>SBERT Paper Replication — Summary of Results</t>
  </si>
  <si>
    <t>Sentence-BERT (Reimers &amp; Gurevych, EMNLP 2019). Replicated = base-model runs from your notebooks. All values ×100 (WikiSec accuracy shown as %).</t>
  </si>
  <si>
    <t>Table / model</t>
  </si>
  <si>
    <t>Metric</t>
  </si>
  <si>
    <t>Paper</t>
  </si>
  <si>
    <t>Replicated</t>
  </si>
  <si>
    <t>Difference</t>
  </si>
  <si>
    <t>Table 1 — SBERT-NLI-base</t>
  </si>
  <si>
    <t>Avg Spearman (7 STS)</t>
  </si>
  <si>
    <t>Table 1 — SRoBERTa-NLI-base</t>
  </si>
  <si>
    <t>Table 2 — SBERT-STSb-base</t>
  </si>
  <si>
    <t>STSb Spearman (10-seed mean)</t>
  </si>
  <si>
    <t>Table 2 — SRoBERTa-STSb-base</t>
  </si>
  <si>
    <t>Table 2 — SBERT-NLI-STSb-base</t>
  </si>
  <si>
    <t>Table 2 — SRoBERTa-NLI-STSb-base</t>
  </si>
  <si>
    <t>Table 3 — AFS 10-fold CV</t>
  </si>
  <si>
    <t>Pearson r</t>
  </si>
  <si>
    <t>Table 3 — AFS cross-topic</t>
  </si>
  <si>
    <t>Table 4 — SBERT-WikiSec-base</t>
  </si>
  <si>
    <t>Accuracy (%)</t>
  </si>
  <si>
    <t>Table 5 — SBERT-NLI-base</t>
  </si>
  <si>
    <t>Avg accuracy (7 tasks)</t>
  </si>
  <si>
    <t>Table 1 — Unsupervised STS (Spearman × 100): Paper vs Replicated</t>
  </si>
  <si>
    <t>Paper: Reimers &amp; Gurevych (2019), Table 1. Replicated: 02_SBERT_STS_Evaluation_table1.ipynb (SBERT-NLI-base) and 03_SRoBERTa_NLI_Training_and_STS_Eval_Table1.ipynb (SRoBERTa-NLI-base).</t>
  </si>
  <si>
    <t>Dataset</t>
  </si>
  <si>
    <t>SBERT-NLI-base
Paper</t>
  </si>
  <si>
    <t>SBERT-NLI-base
Replicated</t>
  </si>
  <si>
    <t>SBERT-NLI-base
Difference</t>
  </si>
  <si>
    <t>SRoBERTa-NLI-base
Paper</t>
  </si>
  <si>
    <t>SRoBERTa-NLI-base
Replicated</t>
  </si>
  <si>
    <t>SRoBERTa-NLI-base
Difference</t>
  </si>
  <si>
    <t>STS12</t>
  </si>
  <si>
    <t>STS13</t>
  </si>
  <si>
    <t>STS14</t>
  </si>
  <si>
    <t>STS15</t>
  </si>
  <si>
    <t>STS16</t>
  </si>
  <si>
    <t>STSb</t>
  </si>
  <si>
    <t>SICK-R</t>
  </si>
  <si>
    <t>Average</t>
  </si>
  <si>
    <t>Note: averages are computed from the seven dataset rows; the paper prints 74.89 / 74.21 (rounding).</t>
  </si>
  <si>
    <t>Table 2 — STS Benchmark Test Set (Spearman × 100): Paper vs Replicated</t>
  </si>
  <si>
    <t>Paper: Reimers &amp; Gurevych (2019), Table 2. Replicated: 10-seed runs (seeds 42–51), 4 epochs; per-seed detail in Table2_Seeds.</t>
  </si>
  <si>
    <t>Model</t>
  </si>
  <si>
    <t>Training setup</t>
  </si>
  <si>
    <t>Paper mean</t>
  </si>
  <si>
    <t>Paper std</t>
  </si>
  <si>
    <t>Replicated mean
(10 seeds)</t>
  </si>
  <si>
    <t>Replicated std</t>
  </si>
  <si>
    <t>Difference
(mean)</t>
  </si>
  <si>
    <t>SBERT-STSb-base</t>
  </si>
  <si>
    <t>STSb only</t>
  </si>
  <si>
    <t>SRoBERTa-STSb-base</t>
  </si>
  <si>
    <t>SBERT-NLI-STSb-base</t>
  </si>
  <si>
    <t>NLI + STSb</t>
  </si>
  <si>
    <t>SRoBERTa-NLI-STSb-base</t>
  </si>
  <si>
    <t>Table 2 — 10-seed replication detail</t>
  </si>
  <si>
    <t>Each block = one paper row. Checkpoints: own locally trained models. Sample std (n−1).</t>
  </si>
  <si>
    <t>Seed</t>
  </si>
  <si>
    <t>Best epoch</t>
  </si>
  <si>
    <t>Best dev Spearman</t>
  </si>
  <si>
    <t>Test Spearman</t>
  </si>
  <si>
    <t>Runtime (min)</t>
  </si>
  <si>
    <t>Mean</t>
  </si>
  <si>
    <t>Std dev (sample)</t>
  </si>
  <si>
    <t>Min</t>
  </si>
  <si>
    <t>Max</t>
  </si>
  <si>
    <t>Table 3 — Argument Facet Similarity (AFS), SBERT-AFS-base: Paper vs Replicated</t>
  </si>
  <si>
    <t>Paper: Reimers &amp; Gurevych (2019), Table 3. Replicated: 06_SBERT_AFS.ipynb (bert-base-uncased, regression objective, 4 epochs). Fold and topic detail below.</t>
  </si>
  <si>
    <t>Evaluation</t>
  </si>
  <si>
    <t>Paper
Pearson (r)</t>
  </si>
  <si>
    <t>Replicated
Pearson (r)</t>
  </si>
  <si>
    <t>Difference
(r)</t>
  </si>
  <si>
    <t>Paper
Spearman (ρ)</t>
  </si>
  <si>
    <t>Replicated
Spearman (ρ)</t>
  </si>
  <si>
    <t>Difference
(ρ)</t>
  </si>
  <si>
    <t>10-fold cross-validation</t>
  </si>
  <si>
    <t>Cross-topic</t>
  </si>
  <si>
    <t>Detail — 10-fold CV per fold (replicated)</t>
  </si>
  <si>
    <t>Fold</t>
  </si>
  <si>
    <t>Pearson</t>
  </si>
  <si>
    <t>Spearman</t>
  </si>
  <si>
    <t>Detail — cross-topic per held-out topic (replicated)</t>
  </si>
  <si>
    <t>Held-out topic</t>
  </si>
  <si>
    <t>death_penalty</t>
  </si>
  <si>
    <t>gay_marriage</t>
  </si>
  <si>
    <t>gun_control</t>
  </si>
  <si>
    <t>Table 4 — Wikipedia Section Triplets (Accuracy), SBERT-WikiSec-base: Paper vs Replicated</t>
  </si>
  <si>
    <t>Paper: Reimers &amp; Gurevych (2019), Table 4. Replicated: 07_SBERT_WikiSec_Base_Table4.ipynb (triplet loss, 1 epoch, 222,957 test triplets).</t>
  </si>
  <si>
    <t>SBERT-WikiSec-base</t>
  </si>
  <si>
    <t>Accuracy</t>
  </si>
  <si>
    <t>Difference (Replicated − Paper)</t>
  </si>
  <si>
    <t>Extra: replicated dev accuracy after epoch 1</t>
  </si>
  <si>
    <t>Table 5 — SentEval Transfer Accuracy, SBERT-NLI-base: Paper vs Replicated</t>
  </si>
  <si>
    <t>Paper: Reimers &amp; Gurevych (2019), Table 5. Replicated: 05_SBERT_SentEval.ipynb (SentEval logistic regression; notebook task name SST2 = paper's SST).</t>
  </si>
  <si>
    <t>SBERT-NLI-base</t>
  </si>
  <si>
    <t>MR</t>
  </si>
  <si>
    <t>CR</t>
  </si>
  <si>
    <t>SUBJ</t>
  </si>
  <si>
    <t>MPQA</t>
  </si>
  <si>
    <t>SST</t>
  </si>
  <si>
    <t>TREC</t>
  </si>
  <si>
    <t>MRPC</t>
  </si>
  <si>
    <t xml:space="preserve">SBERT-STSb-base </t>
  </si>
  <si>
    <t xml:space="preserve">SRoBERTa-NLI-STSb-base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</si>
</sst>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charset val="1"/>
    </font>
    <font>
      <b/>
      <sz val="14"/>
      <color rgb="FF1F4E78"/>
      <name val="Arial"/>
      <family val="2"/>
    </font>
    <font>
      <i/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rgb="FF7F7F7F"/>
      <name val="Arial"/>
      <family val="2"/>
    </font>
    <font>
      <i/>
      <sz val="9"/>
      <color rgb="FF7F7F7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9F9F9"/>
      </patternFill>
    </fill>
    <fill>
      <patternFill patternType="solid">
        <fgColor rgb="FF8EA9C1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3" fillId="4" borderId="0" xfId="0" applyFont="1" applyFill="1" applyAlignment="1">
      <alignment horizontal="left" vertical="center" indent="1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2">
    <dxf>
      <font>
        <color rgb="FF006100"/>
        <name val="Arial"/>
        <charset val="1"/>
      </font>
    </dxf>
    <dxf>
      <font>
        <color rgb="FFC00000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7F7F7F"/>
      <rgbColor rgb="FF8EA9C1"/>
      <rgbColor rgb="FF953B38"/>
      <rgbColor rgb="FFFFF2CC"/>
      <rgbColor rgb="FFF9F9F9"/>
      <rgbColor rgb="FF660066"/>
      <rgbColor rgb="FFC77978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9B0B0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8064A2"/>
      <rgbColor rgb="FF878787"/>
      <rgbColor rgb="FF003366"/>
      <rgbColor rgb="FF339966"/>
      <rgbColor rgb="FF003300"/>
      <rgbColor rgb="FF333300"/>
      <rgbColor rgb="FFC0504D"/>
      <rgbColor rgb="FFB24543"/>
      <rgbColor rgb="FF1F4E78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Paper vs Replicated — all experiments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Summary!$C$4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Table 1 — SBERT-NLI-base</c:v>
                </c:pt>
                <c:pt idx="1">
                  <c:v>Table 1 — SRoBERTa-NLI-base</c:v>
                </c:pt>
                <c:pt idx="2">
                  <c:v>Table 2 — SBERT-STSb-base</c:v>
                </c:pt>
                <c:pt idx="3">
                  <c:v>Table 2 — SRoBERTa-STSb-base</c:v>
                </c:pt>
                <c:pt idx="4">
                  <c:v>Table 2 — SBERT-NLI-STSb-base</c:v>
                </c:pt>
                <c:pt idx="5">
                  <c:v>Table 2 — SRoBERTa-NLI-STSb-base</c:v>
                </c:pt>
                <c:pt idx="6">
                  <c:v>Table 3 — AFS 10-fold CV</c:v>
                </c:pt>
                <c:pt idx="7">
                  <c:v>Table 3 — AFS cross-topic</c:v>
                </c:pt>
                <c:pt idx="8">
                  <c:v>Table 4 — SBERT-WikiSec-base</c:v>
                </c:pt>
                <c:pt idx="9">
                  <c:v>Table 5 — SBERT-NLI-base</c:v>
                </c:pt>
              </c:strCache>
            </c:strRef>
          </c:cat>
          <c:val>
            <c:numRef>
              <c:f>Summary!$C$5:$C$14</c:f>
              <c:numCache>
                <c:formatCode>0.00</c:formatCode>
                <c:ptCount val="10"/>
                <c:pt idx="0">
                  <c:v>74.89</c:v>
                </c:pt>
                <c:pt idx="1">
                  <c:v>74.212857142857146</c:v>
                </c:pt>
                <c:pt idx="2">
                  <c:v>84.67</c:v>
                </c:pt>
                <c:pt idx="3">
                  <c:v>84.92</c:v>
                </c:pt>
                <c:pt idx="4">
                  <c:v>85.35</c:v>
                </c:pt>
                <c:pt idx="5">
                  <c:v>84.79</c:v>
                </c:pt>
                <c:pt idx="6">
                  <c:v>76.569999999999993</c:v>
                </c:pt>
                <c:pt idx="7">
                  <c:v>52.34</c:v>
                </c:pt>
                <c:pt idx="8">
                  <c:v>80.42</c:v>
                </c:pt>
                <c:pt idx="9">
                  <c:v>87.411428571428573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E7-4DAE-A09F-35833F7183E7}"/>
            </c:ext>
          </c:extLst>
        </c:ser>
        <c:ser>
          <c:idx val="1"/>
          <c:order val="1"/>
          <c:tx>
            <c:strRef>
              <c:f>Summary!$D$4</c:f>
              <c:strCache>
                <c:ptCount val="1"/>
                <c:pt idx="0">
                  <c:v>Replicated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Table 1 — SBERT-NLI-base</c:v>
                </c:pt>
                <c:pt idx="1">
                  <c:v>Table 1 — SRoBERTa-NLI-base</c:v>
                </c:pt>
                <c:pt idx="2">
                  <c:v>Table 2 — SBERT-STSb-base</c:v>
                </c:pt>
                <c:pt idx="3">
                  <c:v>Table 2 — SRoBERTa-STSb-base</c:v>
                </c:pt>
                <c:pt idx="4">
                  <c:v>Table 2 — SBERT-NLI-STSb-base</c:v>
                </c:pt>
                <c:pt idx="5">
                  <c:v>Table 2 — SRoBERTa-NLI-STSb-base</c:v>
                </c:pt>
                <c:pt idx="6">
                  <c:v>Table 3 — AFS 10-fold CV</c:v>
                </c:pt>
                <c:pt idx="7">
                  <c:v>Table 3 — AFS cross-topic</c:v>
                </c:pt>
                <c:pt idx="8">
                  <c:v>Table 4 — SBERT-WikiSec-base</c:v>
                </c:pt>
                <c:pt idx="9">
                  <c:v>Table 5 — SBERT-NLI-base</c:v>
                </c:pt>
              </c:strCache>
            </c:strRef>
          </c:cat>
          <c:val>
            <c:numRef>
              <c:f>Summary!$D$5:$D$14</c:f>
              <c:numCache>
                <c:formatCode>0.00</c:formatCode>
                <c:ptCount val="10"/>
                <c:pt idx="0">
                  <c:v>73.882321571428562</c:v>
                </c:pt>
                <c:pt idx="1">
                  <c:v>75.061648857142856</c:v>
                </c:pt>
                <c:pt idx="2">
                  <c:v>84.071606399999993</c:v>
                </c:pt>
                <c:pt idx="3">
                  <c:v>85.14215329999999</c:v>
                </c:pt>
                <c:pt idx="4">
                  <c:v>84.509603099999993</c:v>
                </c:pt>
                <c:pt idx="5">
                  <c:v>85.14215329999999</c:v>
                </c:pt>
                <c:pt idx="6">
                  <c:v>75.871365675421842</c:v>
                </c:pt>
                <c:pt idx="7">
                  <c:v>51.212241859219269</c:v>
                </c:pt>
                <c:pt idx="8">
                  <c:v>79.000883578447898</c:v>
                </c:pt>
                <c:pt idx="9">
                  <c:v>86.649999999999991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E7-4DAE-A09F-35833F7183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021868"/>
        <c:axId val="20658991"/>
      </c:barChart>
      <c:catAx>
        <c:axId val="480218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658991"/>
        <c:crosses val="autoZero"/>
        <c:auto val="1"/>
        <c:lblAlgn val="ctr"/>
        <c:lblOffset val="100"/>
        <c:noMultiLvlLbl val="0"/>
      </c:catAx>
      <c:valAx>
        <c:axId val="20658991"/>
        <c:scaling>
          <c:orientation val="minMax"/>
          <c:max val="10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Score ×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0218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Difference (Replicated − Paper), points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Summary!$E$4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Summary!$A$5:$A$14</c:f>
              <c:strCache>
                <c:ptCount val="10"/>
                <c:pt idx="0">
                  <c:v>Table 1 — SBERT-NLI-base</c:v>
                </c:pt>
                <c:pt idx="1">
                  <c:v>Table 1 — SRoBERTa-NLI-base</c:v>
                </c:pt>
                <c:pt idx="2">
                  <c:v>Table 2 — SBERT-STSb-base</c:v>
                </c:pt>
                <c:pt idx="3">
                  <c:v>Table 2 — SRoBERTa-STSb-base</c:v>
                </c:pt>
                <c:pt idx="4">
                  <c:v>Table 2 — SBERT-NLI-STSb-base</c:v>
                </c:pt>
                <c:pt idx="5">
                  <c:v>Table 2 — SRoBERTa-NLI-STSb-base</c:v>
                </c:pt>
                <c:pt idx="6">
                  <c:v>Table 3 — AFS 10-fold CV</c:v>
                </c:pt>
                <c:pt idx="7">
                  <c:v>Table 3 — AFS cross-topic</c:v>
                </c:pt>
                <c:pt idx="8">
                  <c:v>Table 4 — SBERT-WikiSec-base</c:v>
                </c:pt>
                <c:pt idx="9">
                  <c:v>Table 5 — SBERT-NLI-base</c:v>
                </c:pt>
              </c:strCache>
            </c:strRef>
          </c:cat>
          <c:val>
            <c:numRef>
              <c:f>Summary!$E$5:$E$14</c:f>
              <c:numCache>
                <c:formatCode>0.00</c:formatCode>
                <c:ptCount val="10"/>
                <c:pt idx="0">
                  <c:v>-1.0076784285714382</c:v>
                </c:pt>
                <c:pt idx="1">
                  <c:v>0.84879171428570999</c:v>
                </c:pt>
                <c:pt idx="2">
                  <c:v>-0.59839360000000852</c:v>
                </c:pt>
                <c:pt idx="3">
                  <c:v>0.22215329999998801</c:v>
                </c:pt>
                <c:pt idx="4">
                  <c:v>-0.84039690000000178</c:v>
                </c:pt>
                <c:pt idx="5">
                  <c:v>0.35215329999998346</c:v>
                </c:pt>
                <c:pt idx="6">
                  <c:v>-0.69863432457815122</c:v>
                </c:pt>
                <c:pt idx="7">
                  <c:v>-1.1277581407807347</c:v>
                </c:pt>
                <c:pt idx="8">
                  <c:v>-1.4191164215521042</c:v>
                </c:pt>
                <c:pt idx="9">
                  <c:v>-0.76142857142858134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A2-4718-A0D9-4DCB4F0BD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97162"/>
        <c:axId val="77264946"/>
      </c:barChart>
      <c:catAx>
        <c:axId val="379716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7264946"/>
        <c:crosses val="autoZero"/>
        <c:auto val="1"/>
        <c:lblAlgn val="ctr"/>
        <c:lblOffset val="100"/>
        <c:noMultiLvlLbl val="0"/>
      </c:catAx>
      <c:valAx>
        <c:axId val="772649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9716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Table 1 — Unsupervised STS: Paper vs Replicated (Spearman ×100)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Table1_STS_Unsupervised!$B$4</c:f>
              <c:strCache>
                <c:ptCount val="1"/>
                <c:pt idx="0">
                  <c:v>SBERT-NLI-base
Paper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Table1_STS_Unsupervised!$A$5:$A$11</c:f>
              <c:strCache>
                <c:ptCount val="7"/>
                <c:pt idx="0">
                  <c:v>STS12</c:v>
                </c:pt>
                <c:pt idx="1">
                  <c:v>STS13</c:v>
                </c:pt>
                <c:pt idx="2">
                  <c:v>STS14</c:v>
                </c:pt>
                <c:pt idx="3">
                  <c:v>STS15</c:v>
                </c:pt>
                <c:pt idx="4">
                  <c:v>STS16</c:v>
                </c:pt>
                <c:pt idx="5">
                  <c:v>STSb</c:v>
                </c:pt>
                <c:pt idx="6">
                  <c:v>SICK-R</c:v>
                </c:pt>
              </c:strCache>
            </c:strRef>
          </c:cat>
          <c:val>
            <c:numRef>
              <c:f>Table1_STS_Unsupervised!$B$5:$B$11</c:f>
              <c:numCache>
                <c:formatCode>0.00</c:formatCode>
                <c:ptCount val="7"/>
                <c:pt idx="0">
                  <c:v>70.97</c:v>
                </c:pt>
                <c:pt idx="1">
                  <c:v>76.53</c:v>
                </c:pt>
                <c:pt idx="2">
                  <c:v>73.19</c:v>
                </c:pt>
                <c:pt idx="3">
                  <c:v>79.09</c:v>
                </c:pt>
                <c:pt idx="4">
                  <c:v>74.3</c:v>
                </c:pt>
                <c:pt idx="5">
                  <c:v>77.03</c:v>
                </c:pt>
                <c:pt idx="6">
                  <c:v>72.91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8-4A29-BDA4-4B5417979CBB}"/>
            </c:ext>
          </c:extLst>
        </c:ser>
        <c:ser>
          <c:idx val="1"/>
          <c:order val="1"/>
          <c:tx>
            <c:strRef>
              <c:f>Table1_STS_Unsupervised!$C$4</c:f>
              <c:strCache>
                <c:ptCount val="1"/>
                <c:pt idx="0">
                  <c:v>SBERT-NLI-base
Replicated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Table1_STS_Unsupervised!$A$5:$A$11</c:f>
              <c:strCache>
                <c:ptCount val="7"/>
                <c:pt idx="0">
                  <c:v>STS12</c:v>
                </c:pt>
                <c:pt idx="1">
                  <c:v>STS13</c:v>
                </c:pt>
                <c:pt idx="2">
                  <c:v>STS14</c:v>
                </c:pt>
                <c:pt idx="3">
                  <c:v>STS15</c:v>
                </c:pt>
                <c:pt idx="4">
                  <c:v>STS16</c:v>
                </c:pt>
                <c:pt idx="5">
                  <c:v>STSb</c:v>
                </c:pt>
                <c:pt idx="6">
                  <c:v>SICK-R</c:v>
                </c:pt>
              </c:strCache>
            </c:strRef>
          </c:cat>
          <c:val>
            <c:numRef>
              <c:f>Table1_STS_Unsupervised!$C$5:$C$11</c:f>
              <c:numCache>
                <c:formatCode>0.00</c:formatCode>
                <c:ptCount val="7"/>
                <c:pt idx="0">
                  <c:v>70.664484000000002</c:v>
                </c:pt>
                <c:pt idx="1">
                  <c:v>72.778056000000007</c:v>
                </c:pt>
                <c:pt idx="2">
                  <c:v>70.662632000000002</c:v>
                </c:pt>
                <c:pt idx="3">
                  <c:v>78.869952999999995</c:v>
                </c:pt>
                <c:pt idx="4">
                  <c:v>74.058850000000007</c:v>
                </c:pt>
                <c:pt idx="5">
                  <c:v>76.779259999999994</c:v>
                </c:pt>
                <c:pt idx="6">
                  <c:v>73.363016000000002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8-4A29-BDA4-4B5417979CBB}"/>
            </c:ext>
          </c:extLst>
        </c:ser>
        <c:ser>
          <c:idx val="2"/>
          <c:order val="2"/>
          <c:tx>
            <c:strRef>
              <c:f>Table1_STS_Unsupervised!$E$4</c:f>
              <c:strCache>
                <c:ptCount val="1"/>
                <c:pt idx="0">
                  <c:v>SRoBERTa-NLI-base
Paper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Table1_STS_Unsupervised!$A$5:$A$11</c:f>
              <c:strCache>
                <c:ptCount val="7"/>
                <c:pt idx="0">
                  <c:v>STS12</c:v>
                </c:pt>
                <c:pt idx="1">
                  <c:v>STS13</c:v>
                </c:pt>
                <c:pt idx="2">
                  <c:v>STS14</c:v>
                </c:pt>
                <c:pt idx="3">
                  <c:v>STS15</c:v>
                </c:pt>
                <c:pt idx="4">
                  <c:v>STS16</c:v>
                </c:pt>
                <c:pt idx="5">
                  <c:v>STSb</c:v>
                </c:pt>
                <c:pt idx="6">
                  <c:v>SICK-R</c:v>
                </c:pt>
              </c:strCache>
            </c:strRef>
          </c:cat>
          <c:val>
            <c:numRef>
              <c:f>Table1_STS_Unsupervised!$E$5:$E$11</c:f>
              <c:numCache>
                <c:formatCode>0.00</c:formatCode>
                <c:ptCount val="7"/>
                <c:pt idx="0">
                  <c:v>71.540000000000006</c:v>
                </c:pt>
                <c:pt idx="1">
                  <c:v>72.489999999999995</c:v>
                </c:pt>
                <c:pt idx="2">
                  <c:v>70.8</c:v>
                </c:pt>
                <c:pt idx="3">
                  <c:v>78.739999999999995</c:v>
                </c:pt>
                <c:pt idx="4">
                  <c:v>73.69</c:v>
                </c:pt>
                <c:pt idx="5">
                  <c:v>77.77</c:v>
                </c:pt>
                <c:pt idx="6">
                  <c:v>74.459999999999994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88-4A29-BDA4-4B5417979CBB}"/>
            </c:ext>
          </c:extLst>
        </c:ser>
        <c:ser>
          <c:idx val="3"/>
          <c:order val="3"/>
          <c:tx>
            <c:strRef>
              <c:f>Table1_STS_Unsupervised!$F$4</c:f>
              <c:strCache>
                <c:ptCount val="1"/>
                <c:pt idx="0">
                  <c:v>SRoBERTa-NLI-base
Replicated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Table1_STS_Unsupervised!$A$5:$A$11</c:f>
              <c:strCache>
                <c:ptCount val="7"/>
                <c:pt idx="0">
                  <c:v>STS12</c:v>
                </c:pt>
                <c:pt idx="1">
                  <c:v>STS13</c:v>
                </c:pt>
                <c:pt idx="2">
                  <c:v>STS14</c:v>
                </c:pt>
                <c:pt idx="3">
                  <c:v>STS15</c:v>
                </c:pt>
                <c:pt idx="4">
                  <c:v>STS16</c:v>
                </c:pt>
                <c:pt idx="5">
                  <c:v>STSb</c:v>
                </c:pt>
                <c:pt idx="6">
                  <c:v>SICK-R</c:v>
                </c:pt>
              </c:strCache>
            </c:strRef>
          </c:cat>
          <c:val>
            <c:numRef>
              <c:f>Table1_STS_Unsupervised!$F$5:$F$11</c:f>
              <c:numCache>
                <c:formatCode>0.00</c:formatCode>
                <c:ptCount val="7"/>
                <c:pt idx="0">
                  <c:v>72.614462000000003</c:v>
                </c:pt>
                <c:pt idx="1">
                  <c:v>73.975465</c:v>
                </c:pt>
                <c:pt idx="2">
                  <c:v>71.350673</c:v>
                </c:pt>
                <c:pt idx="3">
                  <c:v>79.862133999999998</c:v>
                </c:pt>
                <c:pt idx="4">
                  <c:v>76.457147000000006</c:v>
                </c:pt>
                <c:pt idx="5">
                  <c:v>77.776533999999998</c:v>
                </c:pt>
                <c:pt idx="6">
                  <c:v>73.395127000000002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88-4A29-BDA4-4B5417979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21128"/>
        <c:axId val="26060847"/>
      </c:barChart>
      <c:catAx>
        <c:axId val="66421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6060847"/>
        <c:crosses val="autoZero"/>
        <c:auto val="1"/>
        <c:lblAlgn val="ctr"/>
        <c:lblOffset val="100"/>
        <c:noMultiLvlLbl val="0"/>
      </c:catAx>
      <c:valAx>
        <c:axId val="26060847"/>
        <c:scaling>
          <c:orientation val="minMax"/>
          <c:max val="85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Spearman ×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42112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Table 2 — STSb test Spearman: Paper vs Replicated (10-seed mean)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Table2_STSb_Supervised!$C$4</c:f>
              <c:strCache>
                <c:ptCount val="1"/>
                <c:pt idx="0">
                  <c:v>Paper mean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Table2_STSb_Supervised!$A$5:$A$8</c:f>
              <c:strCache>
                <c:ptCount val="4"/>
                <c:pt idx="0">
                  <c:v>SBERT-STSb-base</c:v>
                </c:pt>
                <c:pt idx="1">
                  <c:v>SRoBERTa-STSb-base</c:v>
                </c:pt>
                <c:pt idx="2">
                  <c:v>SBERT-NLI-STSb-base</c:v>
                </c:pt>
                <c:pt idx="3">
                  <c:v>SRoBERTa-NLI-STSb-base</c:v>
                </c:pt>
              </c:strCache>
            </c:strRef>
          </c:cat>
          <c:val>
            <c:numRef>
              <c:f>Table2_STSb_Supervised!$C$5:$C$8</c:f>
              <c:numCache>
                <c:formatCode>0.00</c:formatCode>
                <c:ptCount val="4"/>
                <c:pt idx="0">
                  <c:v>84.67</c:v>
                </c:pt>
                <c:pt idx="1">
                  <c:v>84.92</c:v>
                </c:pt>
                <c:pt idx="2">
                  <c:v>85.35</c:v>
                </c:pt>
                <c:pt idx="3">
                  <c:v>84.79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2-430B-AE55-D653F03FC28F}"/>
            </c:ext>
          </c:extLst>
        </c:ser>
        <c:ser>
          <c:idx val="1"/>
          <c:order val="1"/>
          <c:tx>
            <c:strRef>
              <c:f>Table2_STSb_Supervised!$E$4</c:f>
              <c:strCache>
                <c:ptCount val="1"/>
                <c:pt idx="0">
                  <c:v>Replicated mean
(10 seeds)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Table2_STSb_Supervised!$A$5:$A$8</c:f>
              <c:strCache>
                <c:ptCount val="4"/>
                <c:pt idx="0">
                  <c:v>SBERT-STSb-base</c:v>
                </c:pt>
                <c:pt idx="1">
                  <c:v>SRoBERTa-STSb-base</c:v>
                </c:pt>
                <c:pt idx="2">
                  <c:v>SBERT-NLI-STSb-base</c:v>
                </c:pt>
                <c:pt idx="3">
                  <c:v>SRoBERTa-NLI-STSb-base</c:v>
                </c:pt>
              </c:strCache>
            </c:strRef>
          </c:cat>
          <c:val>
            <c:numRef>
              <c:f>Table2_STSb_Supervised!$E$5:$E$8</c:f>
              <c:numCache>
                <c:formatCode>0.00</c:formatCode>
                <c:ptCount val="4"/>
                <c:pt idx="0">
                  <c:v>84.071606399999993</c:v>
                </c:pt>
                <c:pt idx="1">
                  <c:v>85.14215329999999</c:v>
                </c:pt>
                <c:pt idx="2">
                  <c:v>84.509603099999993</c:v>
                </c:pt>
                <c:pt idx="3">
                  <c:v>85.14215329999999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D2-430B-AE55-D653F03FC2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365706"/>
        <c:axId val="78976043"/>
      </c:barChart>
      <c:catAx>
        <c:axId val="4536570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8976043"/>
        <c:crosses val="autoZero"/>
        <c:auto val="1"/>
        <c:lblAlgn val="ctr"/>
        <c:lblOffset val="100"/>
        <c:noMultiLvlLbl val="0"/>
      </c:catAx>
      <c:valAx>
        <c:axId val="78976043"/>
        <c:scaling>
          <c:orientation val="minMax"/>
          <c:max val="87"/>
          <c:min val="82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Spearman ×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36570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Test Spearman per seed (replicated runs)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SBERT-STSb-base</c:v>
          </c:tx>
          <c:spPr>
            <a:ln w="47520">
              <a:solidFill>
                <a:srgbClr val="953B38"/>
              </a:solidFill>
              <a:round/>
            </a:ln>
          </c:spPr>
          <c:marker>
            <c:symbol val="circle"/>
            <c:size val="5"/>
            <c:spPr>
              <a:solidFill>
                <a:srgbClr val="953B3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Table2_Seeds!$A$6:$A$15</c:f>
              <c:numCache>
                <c:formatCode>General</c:formatCode>
                <c:ptCount val="10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</c:numCache>
            </c:numRef>
          </c:cat>
          <c:val>
            <c:numRef>
              <c:f>Table2_Seeds!$D$6:$D$15</c:f>
              <c:numCache>
                <c:formatCode>0.0000</c:formatCode>
                <c:ptCount val="10"/>
                <c:pt idx="0">
                  <c:v>84.306179999999998</c:v>
                </c:pt>
                <c:pt idx="1">
                  <c:v>83.684360999999996</c:v>
                </c:pt>
                <c:pt idx="2">
                  <c:v>84.437163999999996</c:v>
                </c:pt>
                <c:pt idx="3">
                  <c:v>83.834627999999995</c:v>
                </c:pt>
                <c:pt idx="4">
                  <c:v>83.751215000000002</c:v>
                </c:pt>
                <c:pt idx="5">
                  <c:v>83.016717</c:v>
                </c:pt>
                <c:pt idx="6">
                  <c:v>84.599773999999996</c:v>
                </c:pt>
                <c:pt idx="7">
                  <c:v>84.336686999999998</c:v>
                </c:pt>
                <c:pt idx="8">
                  <c:v>84.298233999999994</c:v>
                </c:pt>
                <c:pt idx="9">
                  <c:v>84.451104000000001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67-479F-996C-5D6E9E379C00}"/>
            </c:ext>
          </c:extLst>
        </c:ser>
        <c:ser>
          <c:idx val="1"/>
          <c:order val="1"/>
          <c:tx>
            <c:v>SRoBERTa-STSb-base</c:v>
          </c:tx>
          <c:spPr>
            <a:ln w="47520">
              <a:solidFill>
                <a:srgbClr val="B24543"/>
              </a:solidFill>
              <a:round/>
            </a:ln>
          </c:spPr>
          <c:marker>
            <c:symbol val="circle"/>
            <c:size val="5"/>
            <c:spPr>
              <a:solidFill>
                <a:srgbClr val="B24543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Table2_Seeds!$A$6:$A$15</c:f>
              <c:numCache>
                <c:formatCode>General</c:formatCode>
                <c:ptCount val="10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</c:numCache>
            </c:numRef>
          </c:cat>
          <c:val>
            <c:numRef>
              <c:f>Table2_Seeds!$D$23:$D$32</c:f>
              <c:numCache>
                <c:formatCode>0.0000</c:formatCode>
                <c:ptCount val="10"/>
                <c:pt idx="0">
                  <c:v>84.844224999999994</c:v>
                </c:pt>
                <c:pt idx="1">
                  <c:v>85.357564999999994</c:v>
                </c:pt>
                <c:pt idx="2">
                  <c:v>85.015403000000006</c:v>
                </c:pt>
                <c:pt idx="3">
                  <c:v>85.089608999999996</c:v>
                </c:pt>
                <c:pt idx="4">
                  <c:v>85.212164999999999</c:v>
                </c:pt>
                <c:pt idx="5">
                  <c:v>85.382723999999996</c:v>
                </c:pt>
                <c:pt idx="6">
                  <c:v>85.054694999999995</c:v>
                </c:pt>
                <c:pt idx="7">
                  <c:v>85.359353999999996</c:v>
                </c:pt>
                <c:pt idx="8">
                  <c:v>85.215292000000005</c:v>
                </c:pt>
                <c:pt idx="9">
                  <c:v>84.890501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67-479F-996C-5D6E9E379C00}"/>
            </c:ext>
          </c:extLst>
        </c:ser>
        <c:ser>
          <c:idx val="2"/>
          <c:order val="2"/>
          <c:tx>
            <c:v>SBERT-NLI-STSb-base</c:v>
          </c:tx>
          <c:spPr>
            <a:ln w="47520">
              <a:solidFill>
                <a:srgbClr val="C77978"/>
              </a:solidFill>
              <a:round/>
            </a:ln>
          </c:spPr>
          <c:marker>
            <c:symbol val="circle"/>
            <c:size val="5"/>
            <c:spPr>
              <a:solidFill>
                <a:srgbClr val="C77978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Table2_Seeds!$A$6:$A$15</c:f>
              <c:numCache>
                <c:formatCode>General</c:formatCode>
                <c:ptCount val="10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</c:numCache>
            </c:numRef>
          </c:cat>
          <c:val>
            <c:numRef>
              <c:f>Table2_Seeds!$D$40:$D$49</c:f>
              <c:numCache>
                <c:formatCode>0.0000</c:formatCode>
                <c:ptCount val="10"/>
                <c:pt idx="0">
                  <c:v>84.471952999999999</c:v>
                </c:pt>
                <c:pt idx="1">
                  <c:v>84.323734000000002</c:v>
                </c:pt>
                <c:pt idx="2">
                  <c:v>84.778751999999997</c:v>
                </c:pt>
                <c:pt idx="3">
                  <c:v>84.267420999999999</c:v>
                </c:pt>
                <c:pt idx="4">
                  <c:v>84.549909999999997</c:v>
                </c:pt>
                <c:pt idx="5">
                  <c:v>84.217830000000006</c:v>
                </c:pt>
                <c:pt idx="6">
                  <c:v>84.284987000000001</c:v>
                </c:pt>
                <c:pt idx="7">
                  <c:v>84.552604000000002</c:v>
                </c:pt>
                <c:pt idx="8">
                  <c:v>84.845597999999995</c:v>
                </c:pt>
                <c:pt idx="9">
                  <c:v>84.803241999999997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67-479F-996C-5D6E9E379C00}"/>
            </c:ext>
          </c:extLst>
        </c:ser>
        <c:ser>
          <c:idx val="3"/>
          <c:order val="3"/>
          <c:tx>
            <c:v>SRoBERTa-NLI-STSb-base</c:v>
          </c:tx>
          <c:spPr>
            <a:ln w="47520">
              <a:solidFill>
                <a:srgbClr val="D9B0B0"/>
              </a:solidFill>
              <a:round/>
            </a:ln>
          </c:spPr>
          <c:marker>
            <c:symbol val="circle"/>
            <c:size val="5"/>
            <c:spPr>
              <a:solidFill>
                <a:srgbClr val="D9B0B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Table2_Seeds!$A$6:$A$15</c:f>
              <c:numCache>
                <c:formatCode>General</c:formatCode>
                <c:ptCount val="10"/>
                <c:pt idx="0">
                  <c:v>42</c:v>
                </c:pt>
                <c:pt idx="1">
                  <c:v>43</c:v>
                </c:pt>
                <c:pt idx="2">
                  <c:v>44</c:v>
                </c:pt>
                <c:pt idx="3">
                  <c:v>45</c:v>
                </c:pt>
                <c:pt idx="4">
                  <c:v>46</c:v>
                </c:pt>
                <c:pt idx="5">
                  <c:v>47</c:v>
                </c:pt>
                <c:pt idx="6">
                  <c:v>48</c:v>
                </c:pt>
                <c:pt idx="7">
                  <c:v>49</c:v>
                </c:pt>
                <c:pt idx="8">
                  <c:v>50</c:v>
                </c:pt>
                <c:pt idx="9">
                  <c:v>51</c:v>
                </c:pt>
              </c:numCache>
            </c:numRef>
          </c:cat>
          <c:val>
            <c:numRef>
              <c:f>Table2_Seeds!$D$57:$D$66</c:f>
              <c:numCache>
                <c:formatCode>0.0000</c:formatCode>
                <c:ptCount val="10"/>
                <c:pt idx="0">
                  <c:v>84.844224999999994</c:v>
                </c:pt>
                <c:pt idx="1">
                  <c:v>85.357564999999994</c:v>
                </c:pt>
                <c:pt idx="2">
                  <c:v>85.015403000000006</c:v>
                </c:pt>
                <c:pt idx="3">
                  <c:v>85.089608999999996</c:v>
                </c:pt>
                <c:pt idx="4">
                  <c:v>85.212164999999999</c:v>
                </c:pt>
                <c:pt idx="5">
                  <c:v>85.382723999999996</c:v>
                </c:pt>
                <c:pt idx="6">
                  <c:v>85.054694999999995</c:v>
                </c:pt>
                <c:pt idx="7">
                  <c:v>85.359353999999996</c:v>
                </c:pt>
                <c:pt idx="8">
                  <c:v>85.215292000000005</c:v>
                </c:pt>
                <c:pt idx="9">
                  <c:v>84.890501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67-479F-996C-5D6E9E379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640822"/>
        <c:axId val="57802775"/>
      </c:lineChart>
      <c:catAx>
        <c:axId val="1364082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Seed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802775"/>
        <c:crosses val="autoZero"/>
        <c:auto val="1"/>
        <c:lblAlgn val="ctr"/>
        <c:lblOffset val="100"/>
        <c:noMultiLvlLbl val="0"/>
      </c:catAx>
      <c:valAx>
        <c:axId val="57802775"/>
        <c:scaling>
          <c:orientation val="minMax"/>
          <c:max val="86"/>
          <c:min val="83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Test Spearman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64082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Table 3 — AFS: Paper vs Replicated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Table3_AFS!$B$4</c:f>
              <c:strCache>
                <c:ptCount val="1"/>
                <c:pt idx="0">
                  <c:v>Paper
Pearson (r)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Table3_AFS!$A$5:$A$6</c:f>
              <c:strCache>
                <c:ptCount val="2"/>
                <c:pt idx="0">
                  <c:v>10-fold cross-validation</c:v>
                </c:pt>
                <c:pt idx="1">
                  <c:v>Cross-topic</c:v>
                </c:pt>
              </c:strCache>
            </c:strRef>
          </c:cat>
          <c:val>
            <c:numRef>
              <c:f>Table3_AFS!$B$5:$B$6</c:f>
              <c:numCache>
                <c:formatCode>0.00</c:formatCode>
                <c:ptCount val="2"/>
                <c:pt idx="0">
                  <c:v>76.569999999999993</c:v>
                </c:pt>
                <c:pt idx="1">
                  <c:v>52.34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E2-4625-A810-55A7D3F0BB7F}"/>
            </c:ext>
          </c:extLst>
        </c:ser>
        <c:ser>
          <c:idx val="1"/>
          <c:order val="1"/>
          <c:tx>
            <c:strRef>
              <c:f>Table3_AFS!$C$4</c:f>
              <c:strCache>
                <c:ptCount val="1"/>
                <c:pt idx="0">
                  <c:v>Replicated
Pearson (r)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Table3_AFS!$A$5:$A$6</c:f>
              <c:strCache>
                <c:ptCount val="2"/>
                <c:pt idx="0">
                  <c:v>10-fold cross-validation</c:v>
                </c:pt>
                <c:pt idx="1">
                  <c:v>Cross-topic</c:v>
                </c:pt>
              </c:strCache>
            </c:strRef>
          </c:cat>
          <c:val>
            <c:numRef>
              <c:f>Table3_AFS!$C$5:$C$6</c:f>
              <c:numCache>
                <c:formatCode>0.00</c:formatCode>
                <c:ptCount val="2"/>
                <c:pt idx="0">
                  <c:v>75.871365675421842</c:v>
                </c:pt>
                <c:pt idx="1">
                  <c:v>51.212241859219269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E2-4625-A810-55A7D3F0BB7F}"/>
            </c:ext>
          </c:extLst>
        </c:ser>
        <c:ser>
          <c:idx val="2"/>
          <c:order val="2"/>
          <c:tx>
            <c:strRef>
              <c:f>Table3_AFS!$E$4</c:f>
              <c:strCache>
                <c:ptCount val="1"/>
                <c:pt idx="0">
                  <c:v>Paper
Spearman (ρ)</c:v>
                </c:pt>
              </c:strCache>
            </c:strRef>
          </c:tx>
          <c:spPr>
            <a:solidFill>
              <a:srgbClr val="9BBB59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Table3_AFS!$A$5:$A$6</c:f>
              <c:strCache>
                <c:ptCount val="2"/>
                <c:pt idx="0">
                  <c:v>10-fold cross-validation</c:v>
                </c:pt>
                <c:pt idx="1">
                  <c:v>Cross-topic</c:v>
                </c:pt>
              </c:strCache>
            </c:strRef>
          </c:cat>
          <c:val>
            <c:numRef>
              <c:f>Table3_AFS!$E$5:$E$6</c:f>
              <c:numCache>
                <c:formatCode>0.00</c:formatCode>
                <c:ptCount val="2"/>
                <c:pt idx="0">
                  <c:v>74.13</c:v>
                </c:pt>
                <c:pt idx="1">
                  <c:v>50.65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E2-4625-A810-55A7D3F0BB7F}"/>
            </c:ext>
          </c:extLst>
        </c:ser>
        <c:ser>
          <c:idx val="3"/>
          <c:order val="3"/>
          <c:tx>
            <c:strRef>
              <c:f>Table3_AFS!$F$4</c:f>
              <c:strCache>
                <c:ptCount val="1"/>
                <c:pt idx="0">
                  <c:v>Replicated
Spearman (ρ)</c:v>
                </c:pt>
              </c:strCache>
            </c:strRef>
          </c:tx>
          <c:spPr>
            <a:solidFill>
              <a:srgbClr val="8064A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Table3_AFS!$A$5:$A$6</c:f>
              <c:strCache>
                <c:ptCount val="2"/>
                <c:pt idx="0">
                  <c:v>10-fold cross-validation</c:v>
                </c:pt>
                <c:pt idx="1">
                  <c:v>Cross-topic</c:v>
                </c:pt>
              </c:strCache>
            </c:strRef>
          </c:cat>
          <c:val>
            <c:numRef>
              <c:f>Table3_AFS!$F$5:$F$6</c:f>
              <c:numCache>
                <c:formatCode>0.00</c:formatCode>
                <c:ptCount val="2"/>
                <c:pt idx="0">
                  <c:v>73.205894665764077</c:v>
                </c:pt>
                <c:pt idx="1">
                  <c:v>49.202554140641496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0E2-4625-A810-55A7D3F0B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959908"/>
        <c:axId val="33144470"/>
      </c:barChart>
      <c:catAx>
        <c:axId val="89959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144470"/>
        <c:crosses val="autoZero"/>
        <c:auto val="1"/>
        <c:lblAlgn val="ctr"/>
        <c:lblOffset val="100"/>
        <c:noMultiLvlLbl val="0"/>
      </c:catAx>
      <c:valAx>
        <c:axId val="33144470"/>
        <c:scaling>
          <c:orientation val="minMax"/>
          <c:max val="9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Correlation ×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995990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Replicated 10-fold CV: correlation per fold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Table3_AFS!$B$10</c:f>
              <c:strCache>
                <c:ptCount val="1"/>
                <c:pt idx="0">
                  <c:v>Pearson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Table3_AFS!$A$11:$A$20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Table3_AFS!$B$11:$B$20</c:f>
              <c:numCache>
                <c:formatCode>0.00</c:formatCode>
                <c:ptCount val="10"/>
                <c:pt idx="0">
                  <c:v>75.764964065034903</c:v>
                </c:pt>
                <c:pt idx="1">
                  <c:v>77.309158781219594</c:v>
                </c:pt>
                <c:pt idx="2">
                  <c:v>76.064528610764498</c:v>
                </c:pt>
                <c:pt idx="3">
                  <c:v>77.4562021275853</c:v>
                </c:pt>
                <c:pt idx="4">
                  <c:v>78.751783652769802</c:v>
                </c:pt>
                <c:pt idx="5">
                  <c:v>72.867518366386903</c:v>
                </c:pt>
                <c:pt idx="6">
                  <c:v>77.438500666573802</c:v>
                </c:pt>
                <c:pt idx="7">
                  <c:v>74.057530104227496</c:v>
                </c:pt>
                <c:pt idx="8">
                  <c:v>75.674677238711396</c:v>
                </c:pt>
                <c:pt idx="9">
                  <c:v>73.328793140944796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07-48D1-9E2E-B0750C8B95FB}"/>
            </c:ext>
          </c:extLst>
        </c:ser>
        <c:ser>
          <c:idx val="1"/>
          <c:order val="1"/>
          <c:tx>
            <c:strRef>
              <c:f>Table3_AFS!$C$10</c:f>
              <c:strCache>
                <c:ptCount val="1"/>
                <c:pt idx="0">
                  <c:v>Spearman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Table3_AFS!$A$11:$A$20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Table3_AFS!$C$11:$C$20</c:f>
              <c:numCache>
                <c:formatCode>0.00</c:formatCode>
                <c:ptCount val="10"/>
                <c:pt idx="0">
                  <c:v>73.902103438676903</c:v>
                </c:pt>
                <c:pt idx="1">
                  <c:v>74.557891156801404</c:v>
                </c:pt>
                <c:pt idx="2">
                  <c:v>72.612827527568101</c:v>
                </c:pt>
                <c:pt idx="3">
                  <c:v>74.415604359496101</c:v>
                </c:pt>
                <c:pt idx="4">
                  <c:v>75.791955014383106</c:v>
                </c:pt>
                <c:pt idx="5">
                  <c:v>70.729107194678804</c:v>
                </c:pt>
                <c:pt idx="6">
                  <c:v>76.2210853768362</c:v>
                </c:pt>
                <c:pt idx="7">
                  <c:v>71.631340063799399</c:v>
                </c:pt>
                <c:pt idx="8">
                  <c:v>72.339987395761</c:v>
                </c:pt>
                <c:pt idx="9">
                  <c:v>69.857045129639801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7-48D1-9E2E-B0750C8B95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7810976"/>
        <c:axId val="29816860"/>
      </c:barChart>
      <c:catAx>
        <c:axId val="678109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Fold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9816860"/>
        <c:crosses val="autoZero"/>
        <c:auto val="1"/>
        <c:lblAlgn val="ctr"/>
        <c:lblOffset val="100"/>
        <c:noMultiLvlLbl val="0"/>
      </c:catAx>
      <c:valAx>
        <c:axId val="29816860"/>
        <c:scaling>
          <c:orientation val="minMax"/>
          <c:max val="85"/>
          <c:min val="6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Correlation ×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8109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Replicated cross-topic: correlation per held-out topic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Table3_AFS!$B$25</c:f>
              <c:strCache>
                <c:ptCount val="1"/>
                <c:pt idx="0">
                  <c:v>Pearson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Table3_AFS!$A$26:$A$28</c:f>
              <c:strCache>
                <c:ptCount val="3"/>
                <c:pt idx="0">
                  <c:v>death_penalty</c:v>
                </c:pt>
                <c:pt idx="1">
                  <c:v>gay_marriage</c:v>
                </c:pt>
                <c:pt idx="2">
                  <c:v>gun_control</c:v>
                </c:pt>
              </c:strCache>
            </c:strRef>
          </c:cat>
          <c:val>
            <c:numRef>
              <c:f>Table3_AFS!$B$26:$B$28</c:f>
              <c:numCache>
                <c:formatCode>0.00</c:formatCode>
                <c:ptCount val="3"/>
                <c:pt idx="0">
                  <c:v>51.559499754993404</c:v>
                </c:pt>
                <c:pt idx="1">
                  <c:v>36.275878718714303</c:v>
                </c:pt>
                <c:pt idx="2">
                  <c:v>65.801347103950107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B-4E45-A2BF-6DA4AA3FE22E}"/>
            </c:ext>
          </c:extLst>
        </c:ser>
        <c:ser>
          <c:idx val="1"/>
          <c:order val="1"/>
          <c:tx>
            <c:strRef>
              <c:f>Table3_AFS!$C$25</c:f>
              <c:strCache>
                <c:ptCount val="1"/>
                <c:pt idx="0">
                  <c:v>Spearman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Table3_AFS!$A$26:$A$28</c:f>
              <c:strCache>
                <c:ptCount val="3"/>
                <c:pt idx="0">
                  <c:v>death_penalty</c:v>
                </c:pt>
                <c:pt idx="1">
                  <c:v>gay_marriage</c:v>
                </c:pt>
                <c:pt idx="2">
                  <c:v>gun_control</c:v>
                </c:pt>
              </c:strCache>
            </c:strRef>
          </c:cat>
          <c:val>
            <c:numRef>
              <c:f>Table3_AFS!$C$26:$C$28</c:f>
              <c:numCache>
                <c:formatCode>0.00</c:formatCode>
                <c:ptCount val="3"/>
                <c:pt idx="0">
                  <c:v>50.834459920007099</c:v>
                </c:pt>
                <c:pt idx="1">
                  <c:v>32.615199829759199</c:v>
                </c:pt>
                <c:pt idx="2">
                  <c:v>64.158002672158204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5B-4E45-A2BF-6DA4AA3FE2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2063025"/>
        <c:axId val="65046022"/>
      </c:barChart>
      <c:catAx>
        <c:axId val="920630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5046022"/>
        <c:crosses val="autoZero"/>
        <c:auto val="1"/>
        <c:lblAlgn val="ctr"/>
        <c:lblOffset val="100"/>
        <c:noMultiLvlLbl val="0"/>
      </c:catAx>
      <c:valAx>
        <c:axId val="65046022"/>
        <c:scaling>
          <c:orientation val="minMax"/>
          <c:max val="80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Correlation × 100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206302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Table 4 — WikiSec accuracy: Paper vs Replicated (axis starts at 0.70)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Table4_WikiSec!$B$4</c:f>
              <c:strCache>
                <c:ptCount val="1"/>
                <c:pt idx="0">
                  <c:v>Accuracy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Table4_WikiSec!$A$5:$A$6</c:f>
              <c:strCache>
                <c:ptCount val="2"/>
                <c:pt idx="0">
                  <c:v>Paper</c:v>
                </c:pt>
                <c:pt idx="1">
                  <c:v>Replicated</c:v>
                </c:pt>
              </c:strCache>
            </c:strRef>
          </c:cat>
          <c:val>
            <c:numRef>
              <c:f>Table4_WikiSec!$B$5:$B$6</c:f>
              <c:numCache>
                <c:formatCode>0.0000</c:formatCode>
                <c:ptCount val="2"/>
                <c:pt idx="0">
                  <c:v>0.80420000000000003</c:v>
                </c:pt>
                <c:pt idx="1">
                  <c:v>0.790008835784479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62-428D-BDCB-C87F62D30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538908"/>
        <c:axId val="9301370"/>
      </c:barChart>
      <c:catAx>
        <c:axId val="805389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301370"/>
        <c:crosses val="autoZero"/>
        <c:auto val="1"/>
        <c:lblAlgn val="ctr"/>
        <c:lblOffset val="100"/>
        <c:noMultiLvlLbl val="0"/>
      </c:catAx>
      <c:valAx>
        <c:axId val="9301370"/>
        <c:scaling>
          <c:orientation val="minMax"/>
          <c:max val="0.85"/>
          <c:min val="0.7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Accuracy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5389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Table 5 — SentEval accuracy: Paper vs Replicated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Table5_SentEval!$A$5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Table5_SentEval!$B$4:$H$4</c:f>
              <c:strCache>
                <c:ptCount val="7"/>
                <c:pt idx="0">
                  <c:v>MR</c:v>
                </c:pt>
                <c:pt idx="1">
                  <c:v>CR</c:v>
                </c:pt>
                <c:pt idx="2">
                  <c:v>SUBJ</c:v>
                </c:pt>
                <c:pt idx="3">
                  <c:v>MPQA</c:v>
                </c:pt>
                <c:pt idx="4">
                  <c:v>SST</c:v>
                </c:pt>
                <c:pt idx="5">
                  <c:v>TREC</c:v>
                </c:pt>
                <c:pt idx="6">
                  <c:v>MRPC</c:v>
                </c:pt>
              </c:strCache>
            </c:strRef>
          </c:cat>
          <c:val>
            <c:numRef>
              <c:f>Table5_SentEval!$B$5:$H$5</c:f>
              <c:numCache>
                <c:formatCode>0.00</c:formatCode>
                <c:ptCount val="7"/>
                <c:pt idx="0">
                  <c:v>83.64</c:v>
                </c:pt>
                <c:pt idx="1">
                  <c:v>89.43</c:v>
                </c:pt>
                <c:pt idx="2">
                  <c:v>94.39</c:v>
                </c:pt>
                <c:pt idx="3">
                  <c:v>89.86</c:v>
                </c:pt>
                <c:pt idx="4">
                  <c:v>88.96</c:v>
                </c:pt>
                <c:pt idx="5">
                  <c:v>89.6</c:v>
                </c:pt>
                <c:pt idx="6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6-4D85-B7E3-21CFA38B22ED}"/>
            </c:ext>
          </c:extLst>
        </c:ser>
        <c:ser>
          <c:idx val="1"/>
          <c:order val="1"/>
          <c:tx>
            <c:strRef>
              <c:f>Table5_SentEval!$A$6</c:f>
              <c:strCache>
                <c:ptCount val="1"/>
                <c:pt idx="0">
                  <c:v>Replicated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Table5_SentEval!$B$4:$H$4</c:f>
              <c:strCache>
                <c:ptCount val="7"/>
                <c:pt idx="0">
                  <c:v>MR</c:v>
                </c:pt>
                <c:pt idx="1">
                  <c:v>CR</c:v>
                </c:pt>
                <c:pt idx="2">
                  <c:v>SUBJ</c:v>
                </c:pt>
                <c:pt idx="3">
                  <c:v>MPQA</c:v>
                </c:pt>
                <c:pt idx="4">
                  <c:v>SST</c:v>
                </c:pt>
                <c:pt idx="5">
                  <c:v>TREC</c:v>
                </c:pt>
                <c:pt idx="6">
                  <c:v>MRPC</c:v>
                </c:pt>
              </c:strCache>
            </c:strRef>
          </c:cat>
          <c:val>
            <c:numRef>
              <c:f>Table5_SentEval!$B$6:$H$6</c:f>
              <c:numCache>
                <c:formatCode>0.00</c:formatCode>
                <c:ptCount val="7"/>
                <c:pt idx="0">
                  <c:v>82.14</c:v>
                </c:pt>
                <c:pt idx="1">
                  <c:v>88.77</c:v>
                </c:pt>
                <c:pt idx="2">
                  <c:v>93.09</c:v>
                </c:pt>
                <c:pt idx="3">
                  <c:v>89.91</c:v>
                </c:pt>
                <c:pt idx="4">
                  <c:v>88.41</c:v>
                </c:pt>
                <c:pt idx="5">
                  <c:v>88</c:v>
                </c:pt>
                <c:pt idx="6">
                  <c:v>76.23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6-4D85-B7E3-21CFA38B2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458817"/>
        <c:axId val="4810049"/>
      </c:barChart>
      <c:catAx>
        <c:axId val="414588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810049"/>
        <c:crosses val="autoZero"/>
        <c:auto val="1"/>
        <c:lblAlgn val="ctr"/>
        <c:lblOffset val="100"/>
        <c:noMultiLvlLbl val="0"/>
      </c:catAx>
      <c:valAx>
        <c:axId val="4810049"/>
        <c:scaling>
          <c:orientation val="minMax"/>
          <c:max val="100"/>
          <c:min val="7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Accuracy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45881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160920</xdr:rowOff>
    </xdr:from>
    <xdr:to>
      <xdr:col>10</xdr:col>
      <xdr:colOff>411840</xdr:colOff>
      <xdr:row>36</xdr:row>
      <xdr:rowOff>119880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39</xdr:row>
      <xdr:rowOff>160920</xdr:rowOff>
    </xdr:from>
    <xdr:to>
      <xdr:col>10</xdr:col>
      <xdr:colOff>411840</xdr:colOff>
      <xdr:row>58</xdr:row>
      <xdr:rowOff>140760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15</xdr:row>
      <xdr:rowOff>160920</xdr:rowOff>
    </xdr:from>
    <xdr:to>
      <xdr:col>6</xdr:col>
      <xdr:colOff>888300</xdr:colOff>
      <xdr:row>34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160920</xdr:rowOff>
    </xdr:from>
    <xdr:to>
      <xdr:col>7</xdr:col>
      <xdr:colOff>128220</xdr:colOff>
      <xdr:row>28</xdr:row>
      <xdr:rowOff>140760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</xdr:row>
      <xdr:rowOff>160920</xdr:rowOff>
    </xdr:from>
    <xdr:to>
      <xdr:col>18</xdr:col>
      <xdr:colOff>581760</xdr:colOff>
      <xdr:row>20</xdr:row>
      <xdr:rowOff>181080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</xdr:row>
      <xdr:rowOff>160920</xdr:rowOff>
    </xdr:from>
    <xdr:to>
      <xdr:col>19</xdr:col>
      <xdr:colOff>473040</xdr:colOff>
      <xdr:row>18</xdr:row>
      <xdr:rowOff>142920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21</xdr:row>
      <xdr:rowOff>160920</xdr:rowOff>
    </xdr:from>
    <xdr:to>
      <xdr:col>19</xdr:col>
      <xdr:colOff>473040</xdr:colOff>
      <xdr:row>38</xdr:row>
      <xdr:rowOff>162000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40</xdr:row>
      <xdr:rowOff>160560</xdr:rowOff>
    </xdr:from>
    <xdr:to>
      <xdr:col>19</xdr:col>
      <xdr:colOff>473040</xdr:colOff>
      <xdr:row>57</xdr:row>
      <xdr:rowOff>162000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160920</xdr:rowOff>
    </xdr:from>
    <xdr:to>
      <xdr:col>12</xdr:col>
      <xdr:colOff>255960</xdr:colOff>
      <xdr:row>19</xdr:row>
      <xdr:rowOff>162000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160920</xdr:rowOff>
    </xdr:from>
    <xdr:to>
      <xdr:col>10</xdr:col>
      <xdr:colOff>48240</xdr:colOff>
      <xdr:row>27</xdr:row>
      <xdr:rowOff>141120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zoomScaleNormal="100" workbookViewId="0">
      <pane ySplit="4" topLeftCell="A6" activePane="bottomLeft" state="frozen"/>
      <selection pane="bottomLeft" sqref="A1:E1"/>
    </sheetView>
  </sheetViews>
  <sheetFormatPr defaultColWidth="8.6640625" defaultRowHeight="14.4" x14ac:dyDescent="0.3"/>
  <cols>
    <col min="1" max="1" width="36" customWidth="1"/>
    <col min="2" max="2" width="30" customWidth="1"/>
    <col min="3" max="3" width="12" customWidth="1"/>
    <col min="4" max="4" width="14" customWidth="1"/>
    <col min="5" max="5" width="12" customWidth="1"/>
  </cols>
  <sheetData>
    <row r="1" spans="1:5" ht="17.399999999999999" x14ac:dyDescent="0.3">
      <c r="A1" s="20" t="s">
        <v>0</v>
      </c>
      <c r="B1" s="20"/>
      <c r="C1" s="20"/>
      <c r="D1" s="20"/>
      <c r="E1" s="20"/>
    </row>
    <row r="2" spans="1:5" x14ac:dyDescent="0.3">
      <c r="A2" s="21" t="s">
        <v>1</v>
      </c>
      <c r="B2" s="21"/>
      <c r="C2" s="21"/>
      <c r="D2" s="21"/>
      <c r="E2" s="21"/>
    </row>
    <row r="4" spans="1:5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3">
      <c r="A5" s="2" t="s">
        <v>7</v>
      </c>
      <c r="B5" s="3" t="s">
        <v>8</v>
      </c>
      <c r="C5" s="4">
        <f>Table1_STS_Unsupervised!B12</f>
        <v>74.89</v>
      </c>
      <c r="D5" s="5">
        <f>Table1_STS_Unsupervised!C12</f>
        <v>73.882321571428562</v>
      </c>
      <c r="E5" s="6">
        <f t="shared" ref="E5:E14" si="0">D5-C5</f>
        <v>-1.0076784285714382</v>
      </c>
    </row>
    <row r="6" spans="1:5" x14ac:dyDescent="0.3">
      <c r="A6" s="2" t="s">
        <v>9</v>
      </c>
      <c r="B6" s="3" t="s">
        <v>8</v>
      </c>
      <c r="C6" s="4">
        <f>Table1_STS_Unsupervised!E12</f>
        <v>74.212857142857146</v>
      </c>
      <c r="D6" s="5">
        <f>Table1_STS_Unsupervised!F12</f>
        <v>75.061648857142856</v>
      </c>
      <c r="E6" s="6">
        <f t="shared" si="0"/>
        <v>0.84879171428570999</v>
      </c>
    </row>
    <row r="7" spans="1:5" x14ac:dyDescent="0.3">
      <c r="A7" s="2" t="s">
        <v>10</v>
      </c>
      <c r="B7" s="3" t="s">
        <v>11</v>
      </c>
      <c r="C7" s="4">
        <f>Table2_STSb_Supervised!C5</f>
        <v>84.67</v>
      </c>
      <c r="D7" s="5">
        <f>Table2_STSb_Supervised!E5</f>
        <v>84.071606399999993</v>
      </c>
      <c r="E7" s="6">
        <f t="shared" si="0"/>
        <v>-0.59839360000000852</v>
      </c>
    </row>
    <row r="8" spans="1:5" x14ac:dyDescent="0.3">
      <c r="A8" s="2" t="s">
        <v>12</v>
      </c>
      <c r="B8" s="3" t="s">
        <v>11</v>
      </c>
      <c r="C8" s="4">
        <f>Table2_STSb_Supervised!C6</f>
        <v>84.92</v>
      </c>
      <c r="D8" s="5">
        <f>Table2_STSb_Supervised!E6</f>
        <v>85.14215329999999</v>
      </c>
      <c r="E8" s="6">
        <f t="shared" si="0"/>
        <v>0.22215329999998801</v>
      </c>
    </row>
    <row r="9" spans="1:5" x14ac:dyDescent="0.3">
      <c r="A9" s="2" t="s">
        <v>13</v>
      </c>
      <c r="B9" s="3" t="s">
        <v>11</v>
      </c>
      <c r="C9" s="4">
        <f>Table2_STSb_Supervised!C7</f>
        <v>85.35</v>
      </c>
      <c r="D9" s="5">
        <f>Table2_STSb_Supervised!E7</f>
        <v>84.509603099999993</v>
      </c>
      <c r="E9" s="6">
        <f t="shared" si="0"/>
        <v>-0.84039690000000178</v>
      </c>
    </row>
    <row r="10" spans="1:5" x14ac:dyDescent="0.3">
      <c r="A10" s="2" t="s">
        <v>14</v>
      </c>
      <c r="B10" s="3" t="s">
        <v>11</v>
      </c>
      <c r="C10" s="4">
        <f>Table2_STSb_Supervised!C8</f>
        <v>84.79</v>
      </c>
      <c r="D10" s="5">
        <f>Table2_STSb_Supervised!E8</f>
        <v>85.14215329999999</v>
      </c>
      <c r="E10" s="6">
        <f t="shared" si="0"/>
        <v>0.35215329999998346</v>
      </c>
    </row>
    <row r="11" spans="1:5" x14ac:dyDescent="0.3">
      <c r="A11" s="2" t="s">
        <v>15</v>
      </c>
      <c r="B11" s="3" t="s">
        <v>16</v>
      </c>
      <c r="C11" s="4">
        <f>Table3_AFS!B5</f>
        <v>76.569999999999993</v>
      </c>
      <c r="D11" s="5">
        <f>Table3_AFS!C5</f>
        <v>75.871365675421842</v>
      </c>
      <c r="E11" s="6">
        <f t="shared" si="0"/>
        <v>-0.69863432457815122</v>
      </c>
    </row>
    <row r="12" spans="1:5" x14ac:dyDescent="0.3">
      <c r="A12" s="2" t="s">
        <v>17</v>
      </c>
      <c r="B12" s="3" t="s">
        <v>16</v>
      </c>
      <c r="C12" s="4">
        <f>Table3_AFS!B6</f>
        <v>52.34</v>
      </c>
      <c r="D12" s="5">
        <f>Table3_AFS!C6</f>
        <v>51.212241859219269</v>
      </c>
      <c r="E12" s="6">
        <f t="shared" si="0"/>
        <v>-1.1277581407807347</v>
      </c>
    </row>
    <row r="13" spans="1:5" x14ac:dyDescent="0.3">
      <c r="A13" s="2" t="s">
        <v>18</v>
      </c>
      <c r="B13" s="3" t="s">
        <v>19</v>
      </c>
      <c r="C13" s="4">
        <f>Table4_WikiSec!B5*100</f>
        <v>80.42</v>
      </c>
      <c r="D13" s="5">
        <f>Table4_WikiSec!B6*100</f>
        <v>79.000883578447898</v>
      </c>
      <c r="E13" s="6">
        <f t="shared" si="0"/>
        <v>-1.4191164215521042</v>
      </c>
    </row>
    <row r="14" spans="1:5" x14ac:dyDescent="0.3">
      <c r="A14" s="2" t="s">
        <v>20</v>
      </c>
      <c r="B14" s="3" t="s">
        <v>21</v>
      </c>
      <c r="C14" s="4">
        <f>Table5_SentEval!I5</f>
        <v>87.411428571428573</v>
      </c>
      <c r="D14" s="5">
        <f>Table5_SentEval!I6</f>
        <v>86.649999999999991</v>
      </c>
      <c r="E14" s="6">
        <f t="shared" si="0"/>
        <v>-0.76142857142858134</v>
      </c>
    </row>
  </sheetData>
  <mergeCells count="2">
    <mergeCell ref="A1:E1"/>
    <mergeCell ref="A2:E2"/>
  </mergeCells>
  <conditionalFormatting sqref="E5:E14">
    <cfRule type="cellIs" dxfId="1" priority="2" operator="lessThan">
      <formula>0</formula>
    </cfRule>
    <cfRule type="cellIs" dxfId="0" priority="3" operator="greaterThanOrEqual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13" sqref="B13"/>
    </sheetView>
  </sheetViews>
  <sheetFormatPr defaultColWidth="8.6640625" defaultRowHeight="14.4" x14ac:dyDescent="0.3"/>
  <cols>
    <col min="1" max="1" width="14" customWidth="1"/>
    <col min="2" max="2" width="17" customWidth="1"/>
    <col min="3" max="3" width="19" customWidth="1"/>
    <col min="4" max="4" width="17" customWidth="1"/>
    <col min="5" max="5" width="21" bestFit="1" customWidth="1"/>
    <col min="6" max="6" width="22" customWidth="1"/>
    <col min="7" max="7" width="21" bestFit="1" customWidth="1"/>
  </cols>
  <sheetData>
    <row r="1" spans="1:7" ht="17.399999999999999" x14ac:dyDescent="0.3">
      <c r="A1" s="20" t="s">
        <v>22</v>
      </c>
      <c r="B1" s="20"/>
      <c r="C1" s="20"/>
      <c r="D1" s="20"/>
      <c r="E1" s="20"/>
      <c r="F1" s="20"/>
      <c r="G1" s="20"/>
    </row>
    <row r="2" spans="1:7" x14ac:dyDescent="0.3">
      <c r="A2" s="21" t="s">
        <v>23</v>
      </c>
      <c r="B2" s="21"/>
      <c r="C2" s="21"/>
      <c r="D2" s="21"/>
      <c r="E2" s="21"/>
      <c r="F2" s="21"/>
      <c r="G2" s="21"/>
    </row>
    <row r="4" spans="1:7" ht="31.5" customHeight="1" x14ac:dyDescent="0.3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</row>
    <row r="5" spans="1:7" x14ac:dyDescent="0.3">
      <c r="A5" s="2" t="s">
        <v>31</v>
      </c>
      <c r="B5" s="4">
        <v>70.97</v>
      </c>
      <c r="C5" s="7">
        <v>70.664484000000002</v>
      </c>
      <c r="D5" s="6">
        <f t="shared" ref="D5:D12" si="0">C5-B5</f>
        <v>-0.30551599999999723</v>
      </c>
      <c r="E5" s="4">
        <v>71.540000000000006</v>
      </c>
      <c r="F5" s="7">
        <v>72.614462000000003</v>
      </c>
      <c r="G5" s="6">
        <f t="shared" ref="G5:G12" si="1">F5-E5</f>
        <v>1.0744619999999969</v>
      </c>
    </row>
    <row r="6" spans="1:7" x14ac:dyDescent="0.3">
      <c r="A6" s="2" t="s">
        <v>32</v>
      </c>
      <c r="B6" s="4">
        <v>76.53</v>
      </c>
      <c r="C6" s="7">
        <v>72.778056000000007</v>
      </c>
      <c r="D6" s="6">
        <f t="shared" si="0"/>
        <v>-3.7519439999999946</v>
      </c>
      <c r="E6" s="4">
        <v>72.489999999999995</v>
      </c>
      <c r="F6" s="7">
        <v>73.975465</v>
      </c>
      <c r="G6" s="6">
        <f t="shared" si="1"/>
        <v>1.4854650000000049</v>
      </c>
    </row>
    <row r="7" spans="1:7" x14ac:dyDescent="0.3">
      <c r="A7" s="2" t="s">
        <v>33</v>
      </c>
      <c r="B7" s="4">
        <v>73.19</v>
      </c>
      <c r="C7" s="7">
        <v>70.662632000000002</v>
      </c>
      <c r="D7" s="6">
        <f t="shared" si="0"/>
        <v>-2.5273679999999956</v>
      </c>
      <c r="E7" s="4">
        <v>70.8</v>
      </c>
      <c r="F7" s="7">
        <v>71.350673</v>
      </c>
      <c r="G7" s="6">
        <f t="shared" si="1"/>
        <v>0.5506730000000033</v>
      </c>
    </row>
    <row r="8" spans="1:7" x14ac:dyDescent="0.3">
      <c r="A8" s="2" t="s">
        <v>34</v>
      </c>
      <c r="B8" s="4">
        <v>79.09</v>
      </c>
      <c r="C8" s="7">
        <v>78.869952999999995</v>
      </c>
      <c r="D8" s="6">
        <f t="shared" si="0"/>
        <v>-0.2200470000000081</v>
      </c>
      <c r="E8" s="4">
        <v>78.739999999999995</v>
      </c>
      <c r="F8" s="7">
        <v>79.862133999999998</v>
      </c>
      <c r="G8" s="6">
        <f t="shared" si="1"/>
        <v>1.1221340000000026</v>
      </c>
    </row>
    <row r="9" spans="1:7" x14ac:dyDescent="0.3">
      <c r="A9" s="2" t="s">
        <v>35</v>
      </c>
      <c r="B9" s="4">
        <v>74.3</v>
      </c>
      <c r="C9" s="7">
        <v>74.058850000000007</v>
      </c>
      <c r="D9" s="6">
        <f t="shared" si="0"/>
        <v>-0.24114999999999043</v>
      </c>
      <c r="E9" s="4">
        <v>73.69</v>
      </c>
      <c r="F9" s="7">
        <v>76.457147000000006</v>
      </c>
      <c r="G9" s="6">
        <f t="shared" si="1"/>
        <v>2.7671470000000085</v>
      </c>
    </row>
    <row r="10" spans="1:7" x14ac:dyDescent="0.3">
      <c r="A10" s="2" t="s">
        <v>36</v>
      </c>
      <c r="B10" s="4">
        <v>77.03</v>
      </c>
      <c r="C10" s="7">
        <v>76.779259999999994</v>
      </c>
      <c r="D10" s="6">
        <f t="shared" si="0"/>
        <v>-0.25074000000000751</v>
      </c>
      <c r="E10" s="4">
        <v>77.77</v>
      </c>
      <c r="F10" s="7">
        <v>77.776533999999998</v>
      </c>
      <c r="G10" s="6">
        <f t="shared" si="1"/>
        <v>6.5340000000020382E-3</v>
      </c>
    </row>
    <row r="11" spans="1:7" x14ac:dyDescent="0.3">
      <c r="A11" s="2" t="s">
        <v>37</v>
      </c>
      <c r="B11" s="4">
        <v>72.91</v>
      </c>
      <c r="C11" s="7">
        <v>73.363016000000002</v>
      </c>
      <c r="D11" s="6">
        <f t="shared" si="0"/>
        <v>0.45301600000000519</v>
      </c>
      <c r="E11" s="4">
        <v>74.459999999999994</v>
      </c>
      <c r="F11" s="7">
        <v>73.395127000000002</v>
      </c>
      <c r="G11" s="6">
        <f t="shared" si="1"/>
        <v>-1.0648729999999915</v>
      </c>
    </row>
    <row r="12" spans="1:7" x14ac:dyDescent="0.3">
      <c r="A12" s="8" t="s">
        <v>38</v>
      </c>
      <c r="B12" s="5">
        <v>74.89</v>
      </c>
      <c r="C12" s="5">
        <f>AVERAGE(C5:C11)</f>
        <v>73.882321571428562</v>
      </c>
      <c r="D12" s="5">
        <f t="shared" si="0"/>
        <v>-1.0076784285714382</v>
      </c>
      <c r="E12" s="5">
        <f>AVERAGE(E5:E11)</f>
        <v>74.212857142857146</v>
      </c>
      <c r="F12" s="5">
        <f>AVERAGE(F5:F11)</f>
        <v>75.061648857142856</v>
      </c>
      <c r="G12" s="5">
        <f t="shared" si="1"/>
        <v>0.84879171428570999</v>
      </c>
    </row>
    <row r="14" spans="1:7" x14ac:dyDescent="0.3">
      <c r="A14" s="9" t="s">
        <v>39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"/>
  <sheetViews>
    <sheetView zoomScaleNormal="100" workbookViewId="0">
      <pane ySplit="4" topLeftCell="A5" activePane="bottomLeft" state="frozen"/>
      <selection pane="bottomLeft" activeCell="K14" sqref="K14"/>
    </sheetView>
  </sheetViews>
  <sheetFormatPr defaultColWidth="8.6640625" defaultRowHeight="14.4" x14ac:dyDescent="0.3"/>
  <cols>
    <col min="1" max="1" width="28" customWidth="1"/>
    <col min="2" max="2" width="14" customWidth="1"/>
    <col min="3" max="3" width="12" customWidth="1"/>
    <col min="4" max="4" width="11" customWidth="1"/>
    <col min="5" max="5" width="17.5546875" bestFit="1" customWidth="1"/>
    <col min="6" max="6" width="15" customWidth="1"/>
    <col min="7" max="7" width="13" customWidth="1"/>
  </cols>
  <sheetData>
    <row r="1" spans="1:7" ht="17.399999999999999" x14ac:dyDescent="0.3">
      <c r="A1" s="20" t="s">
        <v>40</v>
      </c>
      <c r="B1" s="20"/>
      <c r="C1" s="20"/>
      <c r="D1" s="20"/>
      <c r="E1" s="20"/>
      <c r="F1" s="20"/>
      <c r="G1" s="20"/>
    </row>
    <row r="2" spans="1:7" x14ac:dyDescent="0.3">
      <c r="A2" s="21" t="s">
        <v>41</v>
      </c>
      <c r="B2" s="21"/>
      <c r="C2" s="21"/>
      <c r="D2" s="21"/>
      <c r="E2" s="21"/>
      <c r="F2" s="21"/>
      <c r="G2" s="21"/>
    </row>
    <row r="4" spans="1:7" ht="31.5" customHeight="1" x14ac:dyDescent="0.3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</row>
    <row r="5" spans="1:7" x14ac:dyDescent="0.3">
      <c r="A5" s="2" t="s">
        <v>49</v>
      </c>
      <c r="B5" s="10" t="s">
        <v>50</v>
      </c>
      <c r="C5" s="4">
        <v>84.67</v>
      </c>
      <c r="D5" s="4">
        <v>0.19</v>
      </c>
      <c r="E5" s="7">
        <f>AVERAGE(Table2_Seeds!D6:D15)</f>
        <v>84.071606399999993</v>
      </c>
      <c r="F5" s="7">
        <f>STDEV(Table2_Seeds!D6:D15)</f>
        <v>0.4893106745119884</v>
      </c>
      <c r="G5" s="6">
        <f>E5-C5</f>
        <v>-0.59839360000000852</v>
      </c>
    </row>
    <row r="6" spans="1:7" x14ac:dyDescent="0.3">
      <c r="A6" s="2" t="s">
        <v>51</v>
      </c>
      <c r="B6" s="10" t="s">
        <v>50</v>
      </c>
      <c r="C6" s="4">
        <v>84.92</v>
      </c>
      <c r="D6" s="4">
        <v>0.34</v>
      </c>
      <c r="E6" s="7">
        <f>AVERAGE(Table2_Seeds!D23:D32)</f>
        <v>85.14215329999999</v>
      </c>
      <c r="F6" s="7">
        <f>STDEV(Table2_Seeds!D23:D32)</f>
        <v>0.19444198281752528</v>
      </c>
      <c r="G6" s="6">
        <f>E6-C6</f>
        <v>0.22215329999998801</v>
      </c>
    </row>
    <row r="7" spans="1:7" x14ac:dyDescent="0.3">
      <c r="A7" s="2" t="s">
        <v>52</v>
      </c>
      <c r="B7" s="10" t="s">
        <v>53</v>
      </c>
      <c r="C7" s="4">
        <v>85.35</v>
      </c>
      <c r="D7" s="4">
        <v>0.17</v>
      </c>
      <c r="E7" s="7">
        <f>AVERAGE(Table2_Seeds!D40:D49)</f>
        <v>84.509603099999993</v>
      </c>
      <c r="F7" s="7">
        <f>STDEV(Table2_Seeds!D40:D49)</f>
        <v>0.23693228910079625</v>
      </c>
      <c r="G7" s="6">
        <f>E7-C7</f>
        <v>-0.84039690000000178</v>
      </c>
    </row>
    <row r="8" spans="1:7" x14ac:dyDescent="0.3">
      <c r="A8" s="2" t="s">
        <v>54</v>
      </c>
      <c r="B8" s="10" t="s">
        <v>53</v>
      </c>
      <c r="C8" s="4">
        <v>84.79</v>
      </c>
      <c r="D8" s="4">
        <v>0.38</v>
      </c>
      <c r="E8" s="7">
        <f>AVERAGE(Table2_Seeds!D57:D66)</f>
        <v>85.14215329999999</v>
      </c>
      <c r="F8" s="7">
        <f>STDEV(Table2_Seeds!D57:D66)</f>
        <v>0.19444198281752528</v>
      </c>
      <c r="G8" s="6">
        <f>E8-C8</f>
        <v>0.35215329999998346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0"/>
  <sheetViews>
    <sheetView zoomScaleNormal="100" workbookViewId="0">
      <pane ySplit="3" topLeftCell="A5" activePane="bottomLeft" state="frozen"/>
      <selection pane="bottomLeft" activeCell="A21" sqref="A21:E21"/>
    </sheetView>
  </sheetViews>
  <sheetFormatPr defaultColWidth="8.6640625" defaultRowHeight="14.4" x14ac:dyDescent="0.3"/>
  <cols>
    <col min="1" max="1" width="22" customWidth="1"/>
    <col min="2" max="2" width="12" customWidth="1"/>
    <col min="3" max="3" width="18" customWidth="1"/>
    <col min="4" max="5" width="15" customWidth="1"/>
  </cols>
  <sheetData>
    <row r="1" spans="1:5" ht="17.399999999999999" x14ac:dyDescent="0.3">
      <c r="A1" s="20" t="s">
        <v>55</v>
      </c>
      <c r="B1" s="20"/>
      <c r="C1" s="20"/>
      <c r="D1" s="20"/>
      <c r="E1" s="20"/>
    </row>
    <row r="2" spans="1:5" x14ac:dyDescent="0.3">
      <c r="A2" s="21" t="s">
        <v>56</v>
      </c>
      <c r="B2" s="21"/>
      <c r="C2" s="21"/>
      <c r="D2" s="21"/>
      <c r="E2" s="21"/>
    </row>
    <row r="4" spans="1:5" x14ac:dyDescent="0.3">
      <c r="A4" s="19" t="s">
        <v>102</v>
      </c>
      <c r="B4" s="19"/>
      <c r="C4" s="19"/>
      <c r="D4" s="19"/>
      <c r="E4" s="19"/>
    </row>
    <row r="5" spans="1:5" ht="27.6" x14ac:dyDescent="0.3">
      <c r="A5" s="1" t="s">
        <v>57</v>
      </c>
      <c r="B5" s="1" t="s">
        <v>58</v>
      </c>
      <c r="C5" s="1" t="s">
        <v>59</v>
      </c>
      <c r="D5" s="1" t="s">
        <v>60</v>
      </c>
      <c r="E5" s="1" t="s">
        <v>61</v>
      </c>
    </row>
    <row r="6" spans="1:5" x14ac:dyDescent="0.3">
      <c r="A6" s="2">
        <v>42</v>
      </c>
      <c r="B6" s="3">
        <v>3</v>
      </c>
      <c r="C6" s="11">
        <v>87.533063999999996</v>
      </c>
      <c r="D6" s="11">
        <v>84.306179999999998</v>
      </c>
      <c r="E6" s="4">
        <v>7.5410190000000004</v>
      </c>
    </row>
    <row r="7" spans="1:5" x14ac:dyDescent="0.3">
      <c r="A7" s="2">
        <v>43</v>
      </c>
      <c r="B7" s="3">
        <v>3</v>
      </c>
      <c r="C7" s="11">
        <v>87.365492000000003</v>
      </c>
      <c r="D7" s="11">
        <v>83.684360999999996</v>
      </c>
      <c r="E7" s="4">
        <v>7.5154560000000004</v>
      </c>
    </row>
    <row r="8" spans="1:5" x14ac:dyDescent="0.3">
      <c r="A8" s="2">
        <v>44</v>
      </c>
      <c r="B8" s="3">
        <v>4</v>
      </c>
      <c r="C8" s="11">
        <v>87.333444999999998</v>
      </c>
      <c r="D8" s="11">
        <v>84.437163999999996</v>
      </c>
      <c r="E8" s="4">
        <v>7.5030729999999997</v>
      </c>
    </row>
    <row r="9" spans="1:5" x14ac:dyDescent="0.3">
      <c r="A9" s="2">
        <v>45</v>
      </c>
      <c r="B9" s="3">
        <v>3</v>
      </c>
      <c r="C9" s="11">
        <v>86.998394000000005</v>
      </c>
      <c r="D9" s="11">
        <v>83.834627999999995</v>
      </c>
      <c r="E9" s="4">
        <v>7.5136339999999997</v>
      </c>
    </row>
    <row r="10" spans="1:5" x14ac:dyDescent="0.3">
      <c r="A10" s="2">
        <v>46</v>
      </c>
      <c r="B10" s="3">
        <v>4</v>
      </c>
      <c r="C10" s="11">
        <v>87.364161999999993</v>
      </c>
      <c r="D10" s="11">
        <v>83.751215000000002</v>
      </c>
      <c r="E10" s="4">
        <v>7.5452019999999997</v>
      </c>
    </row>
    <row r="11" spans="1:5" x14ac:dyDescent="0.3">
      <c r="A11" s="2">
        <v>47</v>
      </c>
      <c r="B11" s="3">
        <v>1</v>
      </c>
      <c r="C11" s="11">
        <v>87.337860000000006</v>
      </c>
      <c r="D11" s="11">
        <v>83.016717</v>
      </c>
      <c r="E11" s="4">
        <v>7.4870739999999998</v>
      </c>
    </row>
    <row r="12" spans="1:5" x14ac:dyDescent="0.3">
      <c r="A12" s="2">
        <v>48</v>
      </c>
      <c r="B12" s="3">
        <v>4</v>
      </c>
      <c r="C12" s="11">
        <v>87.497311999999994</v>
      </c>
      <c r="D12" s="11">
        <v>84.599773999999996</v>
      </c>
      <c r="E12" s="4">
        <v>7.5376370000000001</v>
      </c>
    </row>
    <row r="13" spans="1:5" x14ac:dyDescent="0.3">
      <c r="A13" s="2">
        <v>49</v>
      </c>
      <c r="B13" s="3">
        <v>4</v>
      </c>
      <c r="C13" s="11">
        <v>87.444190000000006</v>
      </c>
      <c r="D13" s="11">
        <v>84.336686999999998</v>
      </c>
      <c r="E13" s="4">
        <v>7.4979719999999999</v>
      </c>
    </row>
    <row r="14" spans="1:5" x14ac:dyDescent="0.3">
      <c r="A14" s="2">
        <v>50</v>
      </c>
      <c r="B14" s="3">
        <v>3</v>
      </c>
      <c r="C14" s="11">
        <v>87.234323000000003</v>
      </c>
      <c r="D14" s="11">
        <v>84.298233999999994</v>
      </c>
      <c r="E14" s="4">
        <v>7.4928549999999996</v>
      </c>
    </row>
    <row r="15" spans="1:5" x14ac:dyDescent="0.3">
      <c r="A15" s="2">
        <v>51</v>
      </c>
      <c r="B15" s="3">
        <v>4</v>
      </c>
      <c r="C15" s="11">
        <v>87.691471000000007</v>
      </c>
      <c r="D15" s="11">
        <v>84.451104000000001</v>
      </c>
      <c r="E15" s="4">
        <v>7.5066220000000001</v>
      </c>
    </row>
    <row r="16" spans="1:5" x14ac:dyDescent="0.3">
      <c r="A16" s="8" t="s">
        <v>62</v>
      </c>
      <c r="B16" s="12"/>
      <c r="C16" s="13">
        <f>AVERAGE(C6:C15)</f>
        <v>87.379971299999994</v>
      </c>
      <c r="D16" s="13">
        <f>AVERAGE(D6:D15)</f>
        <v>84.071606399999993</v>
      </c>
      <c r="E16" s="13">
        <f>AVERAGE(E6:E15)</f>
        <v>7.5140544000000009</v>
      </c>
    </row>
    <row r="17" spans="1:5" x14ac:dyDescent="0.3">
      <c r="A17" s="2" t="s">
        <v>63</v>
      </c>
      <c r="B17" s="3"/>
      <c r="C17" s="11">
        <f>STDEV(C6:C15)</f>
        <v>0.1854647689341257</v>
      </c>
      <c r="D17" s="11">
        <f>STDEV(D6:D15)</f>
        <v>0.4893106745119884</v>
      </c>
      <c r="E17" s="11"/>
    </row>
    <row r="18" spans="1:5" x14ac:dyDescent="0.3">
      <c r="A18" s="2" t="s">
        <v>64</v>
      </c>
      <c r="B18" s="3"/>
      <c r="C18" s="11">
        <f>MIN(C6:C15)</f>
        <v>86.998394000000005</v>
      </c>
      <c r="D18" s="11">
        <f>MIN(D6:D15)</f>
        <v>83.016717</v>
      </c>
      <c r="E18" s="11"/>
    </row>
    <row r="19" spans="1:5" x14ac:dyDescent="0.3">
      <c r="A19" s="2" t="s">
        <v>65</v>
      </c>
      <c r="B19" s="3"/>
      <c r="C19" s="11">
        <f>MAX(C6:C15)</f>
        <v>87.691471000000007</v>
      </c>
      <c r="D19" s="11">
        <f>MAX(D6:D15)</f>
        <v>84.599773999999996</v>
      </c>
      <c r="E19" s="11"/>
    </row>
    <row r="21" spans="1:5" x14ac:dyDescent="0.3">
      <c r="A21" s="19" t="s">
        <v>51</v>
      </c>
      <c r="B21" s="19"/>
      <c r="C21" s="19"/>
      <c r="D21" s="19"/>
      <c r="E21" s="19"/>
    </row>
    <row r="22" spans="1:5" ht="27.6" x14ac:dyDescent="0.3">
      <c r="A22" s="1" t="s">
        <v>57</v>
      </c>
      <c r="B22" s="1" t="s">
        <v>58</v>
      </c>
      <c r="C22" s="1" t="s">
        <v>59</v>
      </c>
      <c r="D22" s="1" t="s">
        <v>60</v>
      </c>
      <c r="E22" s="1" t="s">
        <v>61</v>
      </c>
    </row>
    <row r="23" spans="1:5" x14ac:dyDescent="0.3">
      <c r="A23" s="2">
        <v>42</v>
      </c>
      <c r="B23" s="3">
        <v>2</v>
      </c>
      <c r="C23" s="11">
        <v>88.113307000000006</v>
      </c>
      <c r="D23" s="11">
        <v>84.844224999999994</v>
      </c>
      <c r="E23" s="4">
        <v>8.1128830000000001</v>
      </c>
    </row>
    <row r="24" spans="1:5" x14ac:dyDescent="0.3">
      <c r="A24" s="2">
        <v>43</v>
      </c>
      <c r="B24" s="3">
        <v>3</v>
      </c>
      <c r="C24" s="11">
        <v>88.337703000000005</v>
      </c>
      <c r="D24" s="11">
        <v>85.357564999999994</v>
      </c>
      <c r="E24" s="4">
        <v>8.0658139999999996</v>
      </c>
    </row>
    <row r="25" spans="1:5" x14ac:dyDescent="0.3">
      <c r="A25" s="2">
        <v>44</v>
      </c>
      <c r="B25" s="3">
        <v>4</v>
      </c>
      <c r="C25" s="11">
        <v>88.228110999999998</v>
      </c>
      <c r="D25" s="11">
        <v>85.015403000000006</v>
      </c>
      <c r="E25" s="4">
        <v>8.0899540000000005</v>
      </c>
    </row>
    <row r="26" spans="1:5" x14ac:dyDescent="0.3">
      <c r="A26" s="2">
        <v>45</v>
      </c>
      <c r="B26" s="3">
        <v>4</v>
      </c>
      <c r="C26" s="11">
        <v>88.192417000000006</v>
      </c>
      <c r="D26" s="11">
        <v>85.089608999999996</v>
      </c>
      <c r="E26" s="4">
        <v>8.0935290000000002</v>
      </c>
    </row>
    <row r="27" spans="1:5" x14ac:dyDescent="0.3">
      <c r="A27" s="2">
        <v>46</v>
      </c>
      <c r="B27" s="3">
        <v>4</v>
      </c>
      <c r="C27" s="11">
        <v>88.104054000000005</v>
      </c>
      <c r="D27" s="11">
        <v>85.212164999999999</v>
      </c>
      <c r="E27" s="4">
        <v>8.1403800000000004</v>
      </c>
    </row>
    <row r="28" spans="1:5" x14ac:dyDescent="0.3">
      <c r="A28" s="2">
        <v>47</v>
      </c>
      <c r="B28" s="3">
        <v>4</v>
      </c>
      <c r="C28" s="11">
        <v>88.313715000000002</v>
      </c>
      <c r="D28" s="11">
        <v>85.382723999999996</v>
      </c>
      <c r="E28" s="4">
        <v>8.0776330000000005</v>
      </c>
    </row>
    <row r="29" spans="1:5" x14ac:dyDescent="0.3">
      <c r="A29" s="2">
        <v>48</v>
      </c>
      <c r="B29" s="3">
        <v>3</v>
      </c>
      <c r="C29" s="11">
        <v>88.107286999999999</v>
      </c>
      <c r="D29" s="11">
        <v>85.054694999999995</v>
      </c>
      <c r="E29" s="4">
        <v>8.0400740000000006</v>
      </c>
    </row>
    <row r="30" spans="1:5" x14ac:dyDescent="0.3">
      <c r="A30" s="2">
        <v>49</v>
      </c>
      <c r="B30" s="3">
        <v>4</v>
      </c>
      <c r="C30" s="11">
        <v>88.232799</v>
      </c>
      <c r="D30" s="11">
        <v>85.359353999999996</v>
      </c>
      <c r="E30" s="4">
        <v>8.0476460000000003</v>
      </c>
    </row>
    <row r="31" spans="1:5" x14ac:dyDescent="0.3">
      <c r="A31" s="2">
        <v>50</v>
      </c>
      <c r="B31" s="3">
        <v>3</v>
      </c>
      <c r="C31" s="11">
        <v>88.402252000000004</v>
      </c>
      <c r="D31" s="11">
        <v>85.215292000000005</v>
      </c>
      <c r="E31" s="4">
        <v>8.0562229999999992</v>
      </c>
    </row>
    <row r="32" spans="1:5" x14ac:dyDescent="0.3">
      <c r="A32" s="2">
        <v>51</v>
      </c>
      <c r="B32" s="3">
        <v>2</v>
      </c>
      <c r="C32" s="11">
        <v>88.02176</v>
      </c>
      <c r="D32" s="11">
        <v>84.890501</v>
      </c>
      <c r="E32" s="4">
        <v>8.069903</v>
      </c>
    </row>
    <row r="33" spans="1:5" x14ac:dyDescent="0.3">
      <c r="A33" s="8" t="s">
        <v>62</v>
      </c>
      <c r="B33" s="12"/>
      <c r="C33" s="13">
        <f>AVERAGE(C23:C32)</f>
        <v>88.205340500000005</v>
      </c>
      <c r="D33" s="13">
        <f>AVERAGE(D23:D32)</f>
        <v>85.14215329999999</v>
      </c>
      <c r="E33" s="13">
        <f>AVERAGE(E23:E32)</f>
        <v>8.0794038999999991</v>
      </c>
    </row>
    <row r="34" spans="1:5" x14ac:dyDescent="0.3">
      <c r="A34" s="2" t="s">
        <v>63</v>
      </c>
      <c r="B34" s="3"/>
      <c r="C34" s="11">
        <f>STDEV(C23:C32)</f>
        <v>0.12088741009739461</v>
      </c>
      <c r="D34" s="11">
        <f>STDEV(D23:D32)</f>
        <v>0.19444198281752528</v>
      </c>
      <c r="E34" s="11"/>
    </row>
    <row r="35" spans="1:5" x14ac:dyDescent="0.3">
      <c r="A35" s="2" t="s">
        <v>64</v>
      </c>
      <c r="B35" s="3"/>
      <c r="C35" s="11">
        <f>MIN(C23:C32)</f>
        <v>88.02176</v>
      </c>
      <c r="D35" s="11">
        <f>MIN(D23:D32)</f>
        <v>84.844224999999994</v>
      </c>
      <c r="E35" s="11"/>
    </row>
    <row r="36" spans="1:5" x14ac:dyDescent="0.3">
      <c r="A36" s="2" t="s">
        <v>65</v>
      </c>
      <c r="B36" s="3"/>
      <c r="C36" s="11">
        <f>MAX(C23:C32)</f>
        <v>88.402252000000004</v>
      </c>
      <c r="D36" s="11">
        <f>MAX(D23:D32)</f>
        <v>85.382723999999996</v>
      </c>
      <c r="E36" s="11"/>
    </row>
    <row r="38" spans="1:5" x14ac:dyDescent="0.3">
      <c r="A38" s="19" t="s">
        <v>52</v>
      </c>
      <c r="B38" s="19"/>
      <c r="C38" s="19"/>
      <c r="D38" s="19"/>
      <c r="E38" s="19"/>
    </row>
    <row r="39" spans="1:5" ht="27.6" x14ac:dyDescent="0.3">
      <c r="A39" s="1" t="s">
        <v>57</v>
      </c>
      <c r="B39" s="1" t="s">
        <v>58</v>
      </c>
      <c r="C39" s="1" t="s">
        <v>59</v>
      </c>
      <c r="D39" s="1" t="s">
        <v>60</v>
      </c>
      <c r="E39" s="1" t="s">
        <v>61</v>
      </c>
    </row>
    <row r="40" spans="1:5" x14ac:dyDescent="0.3">
      <c r="A40" s="2">
        <v>42</v>
      </c>
      <c r="B40" s="3">
        <v>4</v>
      </c>
      <c r="C40" s="11">
        <v>86.604225</v>
      </c>
      <c r="D40" s="11">
        <v>84.471952999999999</v>
      </c>
      <c r="E40" s="4">
        <v>9.1876359999999995</v>
      </c>
    </row>
    <row r="41" spans="1:5" x14ac:dyDescent="0.3">
      <c r="A41" s="2">
        <v>43</v>
      </c>
      <c r="B41" s="3">
        <v>4</v>
      </c>
      <c r="C41" s="11">
        <v>86.444430999999994</v>
      </c>
      <c r="D41" s="11">
        <v>84.323734000000002</v>
      </c>
      <c r="E41" s="4">
        <v>9.0371249999999996</v>
      </c>
    </row>
    <row r="42" spans="1:5" x14ac:dyDescent="0.3">
      <c r="A42" s="2">
        <v>44</v>
      </c>
      <c r="B42" s="3">
        <v>4</v>
      </c>
      <c r="C42" s="11">
        <v>86.415619000000007</v>
      </c>
      <c r="D42" s="11">
        <v>84.778751999999997</v>
      </c>
      <c r="E42" s="4">
        <v>8.9298409999999997</v>
      </c>
    </row>
    <row r="43" spans="1:5" x14ac:dyDescent="0.3">
      <c r="A43" s="2">
        <v>45</v>
      </c>
      <c r="B43" s="3">
        <v>3</v>
      </c>
      <c r="C43" s="11">
        <v>86.809432999999999</v>
      </c>
      <c r="D43" s="11">
        <v>84.267420999999999</v>
      </c>
      <c r="E43" s="4">
        <v>9.8137059999999998</v>
      </c>
    </row>
    <row r="44" spans="1:5" x14ac:dyDescent="0.3">
      <c r="A44" s="2">
        <v>46</v>
      </c>
      <c r="B44" s="3">
        <v>4</v>
      </c>
      <c r="C44" s="11">
        <v>86.715361999999999</v>
      </c>
      <c r="D44" s="11">
        <v>84.549909999999997</v>
      </c>
      <c r="E44" s="4">
        <v>8.8677050000000008</v>
      </c>
    </row>
    <row r="45" spans="1:5" x14ac:dyDescent="0.3">
      <c r="A45" s="2">
        <v>47</v>
      </c>
      <c r="B45" s="3">
        <v>4</v>
      </c>
      <c r="C45" s="11">
        <v>86.945434000000006</v>
      </c>
      <c r="D45" s="11">
        <v>84.217830000000006</v>
      </c>
      <c r="E45" s="4">
        <v>8.8230109999999993</v>
      </c>
    </row>
    <row r="46" spans="1:5" x14ac:dyDescent="0.3">
      <c r="A46" s="2">
        <v>48</v>
      </c>
      <c r="B46" s="3">
        <v>3</v>
      </c>
      <c r="C46" s="11">
        <v>86.493893</v>
      </c>
      <c r="D46" s="11">
        <v>84.284987000000001</v>
      </c>
      <c r="E46" s="4">
        <v>8.8859530000000007</v>
      </c>
    </row>
    <row r="47" spans="1:5" x14ac:dyDescent="0.3">
      <c r="A47" s="2">
        <v>49</v>
      </c>
      <c r="B47" s="3">
        <v>3</v>
      </c>
      <c r="C47" s="11">
        <v>86.546244999999999</v>
      </c>
      <c r="D47" s="11">
        <v>84.552604000000002</v>
      </c>
      <c r="E47" s="4">
        <v>8.7975779999999997</v>
      </c>
    </row>
    <row r="48" spans="1:5" x14ac:dyDescent="0.3">
      <c r="A48" s="2">
        <v>50</v>
      </c>
      <c r="B48" s="3">
        <v>3</v>
      </c>
      <c r="C48" s="11">
        <v>86.800621000000007</v>
      </c>
      <c r="D48" s="11">
        <v>84.845597999999995</v>
      </c>
      <c r="E48" s="4">
        <v>11.489001999999999</v>
      </c>
    </row>
    <row r="49" spans="1:5" x14ac:dyDescent="0.3">
      <c r="A49" s="2">
        <v>51</v>
      </c>
      <c r="B49" s="3">
        <v>4</v>
      </c>
      <c r="C49" s="11">
        <v>86.829363000000001</v>
      </c>
      <c r="D49" s="11">
        <v>84.803241999999997</v>
      </c>
      <c r="E49" s="4">
        <v>9.7539169999999995</v>
      </c>
    </row>
    <row r="50" spans="1:5" x14ac:dyDescent="0.3">
      <c r="A50" s="8" t="s">
        <v>62</v>
      </c>
      <c r="B50" s="12"/>
      <c r="C50" s="13">
        <f>AVERAGE(C40:C49)</f>
        <v>86.660462599999988</v>
      </c>
      <c r="D50" s="13">
        <f>AVERAGE(D40:D49)</f>
        <v>84.509603099999993</v>
      </c>
      <c r="E50" s="13">
        <f>AVERAGE(E40:E49)</f>
        <v>9.3585474000000008</v>
      </c>
    </row>
    <row r="51" spans="1:5" x14ac:dyDescent="0.3">
      <c r="A51" s="2" t="s">
        <v>63</v>
      </c>
      <c r="B51" s="3"/>
      <c r="C51" s="11">
        <f>STDEV(C40:C49)</f>
        <v>0.18413713046181532</v>
      </c>
      <c r="D51" s="11">
        <f>STDEV(D40:D49)</f>
        <v>0.23693228910079625</v>
      </c>
      <c r="E51" s="11"/>
    </row>
    <row r="52" spans="1:5" x14ac:dyDescent="0.3">
      <c r="A52" s="2" t="s">
        <v>64</v>
      </c>
      <c r="B52" s="3"/>
      <c r="C52" s="11">
        <f>MIN(C40:C49)</f>
        <v>86.415619000000007</v>
      </c>
      <c r="D52" s="11">
        <f>MIN(D40:D49)</f>
        <v>84.217830000000006</v>
      </c>
      <c r="E52" s="11"/>
    </row>
    <row r="53" spans="1:5" x14ac:dyDescent="0.3">
      <c r="A53" s="2" t="s">
        <v>65</v>
      </c>
      <c r="B53" s="3"/>
      <c r="C53" s="11">
        <f>MAX(C40:C49)</f>
        <v>86.945434000000006</v>
      </c>
      <c r="D53" s="11">
        <f>MAX(D40:D49)</f>
        <v>84.845597999999995</v>
      </c>
      <c r="E53" s="11"/>
    </row>
    <row r="55" spans="1:5" x14ac:dyDescent="0.3">
      <c r="A55" s="19" t="s">
        <v>103</v>
      </c>
      <c r="B55" s="19"/>
      <c r="C55" s="19"/>
      <c r="D55" s="19"/>
      <c r="E55" s="19"/>
    </row>
    <row r="56" spans="1:5" ht="27.6" x14ac:dyDescent="0.3">
      <c r="A56" s="1" t="s">
        <v>57</v>
      </c>
      <c r="B56" s="1" t="s">
        <v>58</v>
      </c>
      <c r="C56" s="1" t="s">
        <v>59</v>
      </c>
      <c r="D56" s="1" t="s">
        <v>60</v>
      </c>
      <c r="E56" s="1" t="s">
        <v>61</v>
      </c>
    </row>
    <row r="57" spans="1:5" x14ac:dyDescent="0.3">
      <c r="A57" s="2">
        <v>42</v>
      </c>
      <c r="B57" s="3">
        <v>2</v>
      </c>
      <c r="C57" s="11">
        <v>88.113307000000006</v>
      </c>
      <c r="D57" s="11">
        <v>84.844224999999994</v>
      </c>
      <c r="E57" s="4">
        <v>8.2871579999999998</v>
      </c>
    </row>
    <row r="58" spans="1:5" x14ac:dyDescent="0.3">
      <c r="A58" s="2">
        <v>43</v>
      </c>
      <c r="B58" s="3">
        <v>3</v>
      </c>
      <c r="C58" s="11">
        <v>88.337703000000005</v>
      </c>
      <c r="D58" s="11">
        <v>85.357564999999994</v>
      </c>
      <c r="E58" s="4">
        <v>8.2407970000000006</v>
      </c>
    </row>
    <row r="59" spans="1:5" x14ac:dyDescent="0.3">
      <c r="A59" s="2">
        <v>44</v>
      </c>
      <c r="B59" s="3">
        <v>4</v>
      </c>
      <c r="C59" s="11">
        <v>88.228110999999998</v>
      </c>
      <c r="D59" s="11">
        <v>85.015403000000006</v>
      </c>
      <c r="E59" s="4">
        <v>8.2191500000000008</v>
      </c>
    </row>
    <row r="60" spans="1:5" x14ac:dyDescent="0.3">
      <c r="A60" s="2">
        <v>45</v>
      </c>
      <c r="B60" s="3">
        <v>4</v>
      </c>
      <c r="C60" s="11">
        <v>88.192417000000006</v>
      </c>
      <c r="D60" s="11">
        <v>85.089608999999996</v>
      </c>
      <c r="E60" s="4">
        <v>7.7339770000000003</v>
      </c>
    </row>
    <row r="61" spans="1:5" x14ac:dyDescent="0.3">
      <c r="A61" s="2">
        <v>46</v>
      </c>
      <c r="B61" s="3">
        <v>4</v>
      </c>
      <c r="C61" s="11">
        <v>88.104054000000005</v>
      </c>
      <c r="D61" s="11">
        <v>85.212164999999999</v>
      </c>
      <c r="E61" s="4">
        <v>7.8863960000000004</v>
      </c>
    </row>
    <row r="62" spans="1:5" x14ac:dyDescent="0.3">
      <c r="A62" s="2">
        <v>47</v>
      </c>
      <c r="B62" s="3">
        <v>4</v>
      </c>
      <c r="C62" s="11">
        <v>88.313715000000002</v>
      </c>
      <c r="D62" s="11">
        <v>85.382723999999996</v>
      </c>
      <c r="E62" s="4">
        <v>7.7251820000000002</v>
      </c>
    </row>
    <row r="63" spans="1:5" x14ac:dyDescent="0.3">
      <c r="A63" s="2">
        <v>48</v>
      </c>
      <c r="B63" s="3">
        <v>3</v>
      </c>
      <c r="C63" s="11">
        <v>88.107286999999999</v>
      </c>
      <c r="D63" s="11">
        <v>85.054694999999995</v>
      </c>
      <c r="E63" s="4">
        <v>7.6561000000000003</v>
      </c>
    </row>
    <row r="64" spans="1:5" x14ac:dyDescent="0.3">
      <c r="A64" s="2">
        <v>49</v>
      </c>
      <c r="B64" s="3">
        <v>4</v>
      </c>
      <c r="C64" s="11">
        <v>88.232799</v>
      </c>
      <c r="D64" s="11">
        <v>85.359353999999996</v>
      </c>
      <c r="E64" s="4">
        <v>7.63164</v>
      </c>
    </row>
    <row r="65" spans="1:5" x14ac:dyDescent="0.3">
      <c r="A65" s="2">
        <v>50</v>
      </c>
      <c r="B65" s="3">
        <v>3</v>
      </c>
      <c r="C65" s="11">
        <v>88.402252000000004</v>
      </c>
      <c r="D65" s="11">
        <v>85.215292000000005</v>
      </c>
      <c r="E65" s="4">
        <v>7.620539</v>
      </c>
    </row>
    <row r="66" spans="1:5" x14ac:dyDescent="0.3">
      <c r="A66" s="2">
        <v>51</v>
      </c>
      <c r="B66" s="3">
        <v>2</v>
      </c>
      <c r="C66" s="11">
        <v>88.02176</v>
      </c>
      <c r="D66" s="11">
        <v>84.890501</v>
      </c>
      <c r="E66" s="4">
        <v>7.6697689999999996</v>
      </c>
    </row>
    <row r="67" spans="1:5" x14ac:dyDescent="0.3">
      <c r="A67" s="8" t="s">
        <v>62</v>
      </c>
      <c r="B67" s="12"/>
      <c r="C67" s="13">
        <f>AVERAGE(C57:C66)</f>
        <v>88.205340500000005</v>
      </c>
      <c r="D67" s="13">
        <f>AVERAGE(D57:D66)</f>
        <v>85.14215329999999</v>
      </c>
      <c r="E67" s="13">
        <f>AVERAGE(E57:E66)</f>
        <v>7.8670707999999987</v>
      </c>
    </row>
    <row r="68" spans="1:5" x14ac:dyDescent="0.3">
      <c r="A68" s="2" t="s">
        <v>63</v>
      </c>
      <c r="B68" s="3"/>
      <c r="C68" s="11">
        <f>STDEV(C57:C66)</f>
        <v>0.12088741009739461</v>
      </c>
      <c r="D68" s="11">
        <f>STDEV(D57:D66)</f>
        <v>0.19444198281752528</v>
      </c>
      <c r="E68" s="11"/>
    </row>
    <row r="69" spans="1:5" x14ac:dyDescent="0.3">
      <c r="A69" s="2" t="s">
        <v>64</v>
      </c>
      <c r="B69" s="3"/>
      <c r="C69" s="11">
        <f>MIN(C57:C66)</f>
        <v>88.02176</v>
      </c>
      <c r="D69" s="11">
        <f>MIN(D57:D66)</f>
        <v>84.844224999999994</v>
      </c>
      <c r="E69" s="11"/>
    </row>
    <row r="70" spans="1:5" x14ac:dyDescent="0.3">
      <c r="A70" s="2" t="s">
        <v>65</v>
      </c>
      <c r="B70" s="3"/>
      <c r="C70" s="11">
        <f>MAX(C57:C66)</f>
        <v>88.402252000000004</v>
      </c>
      <c r="D70" s="11">
        <f>MAX(D57:D66)</f>
        <v>85.382723999999996</v>
      </c>
      <c r="E70" s="11"/>
    </row>
  </sheetData>
  <mergeCells count="6">
    <mergeCell ref="A55:E55"/>
    <mergeCell ref="A1:E1"/>
    <mergeCell ref="A2:E2"/>
    <mergeCell ref="A4:E4"/>
    <mergeCell ref="A21:E21"/>
    <mergeCell ref="A38:E3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9"/>
  <sheetViews>
    <sheetView tabSelected="1" zoomScaleNormal="100" workbookViewId="0">
      <pane ySplit="4" topLeftCell="A5" activePane="bottomLeft" state="frozen"/>
      <selection pane="bottomLeft" sqref="A1:G1"/>
    </sheetView>
  </sheetViews>
  <sheetFormatPr defaultColWidth="8.6640625" defaultRowHeight="14.4" x14ac:dyDescent="0.3"/>
  <cols>
    <col min="1" max="1" width="30" customWidth="1"/>
    <col min="2" max="2" width="14" customWidth="1"/>
    <col min="3" max="3" width="15" customWidth="1"/>
    <col min="4" max="4" width="13" customWidth="1"/>
    <col min="5" max="5" width="16" customWidth="1"/>
    <col min="6" max="6" width="17" customWidth="1"/>
    <col min="7" max="7" width="13" customWidth="1"/>
  </cols>
  <sheetData>
    <row r="1" spans="1:7" ht="17.399999999999999" x14ac:dyDescent="0.3">
      <c r="A1" s="20" t="s">
        <v>66</v>
      </c>
      <c r="B1" s="20"/>
      <c r="C1" s="20"/>
      <c r="D1" s="20"/>
      <c r="E1" s="20"/>
      <c r="F1" s="20"/>
      <c r="G1" s="20"/>
    </row>
    <row r="2" spans="1:7" x14ac:dyDescent="0.3">
      <c r="A2" s="21" t="s">
        <v>67</v>
      </c>
      <c r="B2" s="21"/>
      <c r="C2" s="21"/>
      <c r="D2" s="21"/>
      <c r="E2" s="21"/>
      <c r="F2" s="21"/>
      <c r="G2" s="21"/>
    </row>
    <row r="4" spans="1:7" ht="31.5" customHeight="1" x14ac:dyDescent="0.3">
      <c r="A4" s="1" t="s">
        <v>68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</row>
    <row r="5" spans="1:7" x14ac:dyDescent="0.3">
      <c r="A5" s="2" t="s">
        <v>75</v>
      </c>
      <c r="B5" s="4">
        <v>76.569999999999993</v>
      </c>
      <c r="C5" s="7">
        <f>B21</f>
        <v>75.871365675421842</v>
      </c>
      <c r="D5" s="6">
        <f>C5-B5</f>
        <v>-0.69863432457815122</v>
      </c>
      <c r="E5" s="4">
        <v>74.13</v>
      </c>
      <c r="F5" s="7">
        <f>C21</f>
        <v>73.205894665764077</v>
      </c>
      <c r="G5" s="6">
        <f>F5-E5</f>
        <v>-0.92410533423591801</v>
      </c>
    </row>
    <row r="6" spans="1:7" x14ac:dyDescent="0.3">
      <c r="A6" s="2" t="s">
        <v>76</v>
      </c>
      <c r="B6" s="4">
        <v>52.34</v>
      </c>
      <c r="C6" s="7">
        <f>B29</f>
        <v>51.212241859219269</v>
      </c>
      <c r="D6" s="6">
        <f>C6-B6</f>
        <v>-1.1277581407807347</v>
      </c>
      <c r="E6" s="4">
        <v>50.65</v>
      </c>
      <c r="F6" s="7">
        <f>C29</f>
        <v>49.202554140641496</v>
      </c>
      <c r="G6" s="6">
        <f>F6-E6</f>
        <v>-1.4474458593585027</v>
      </c>
    </row>
    <row r="9" spans="1:7" x14ac:dyDescent="0.3">
      <c r="A9" s="19" t="s">
        <v>77</v>
      </c>
      <c r="B9" s="19"/>
      <c r="C9" s="19"/>
      <c r="D9" s="19"/>
      <c r="E9" s="19"/>
      <c r="F9" s="19"/>
      <c r="G9" s="19"/>
    </row>
    <row r="10" spans="1:7" x14ac:dyDescent="0.3">
      <c r="A10" s="1" t="s">
        <v>78</v>
      </c>
      <c r="B10" s="1" t="s">
        <v>79</v>
      </c>
      <c r="C10" s="1" t="s">
        <v>80</v>
      </c>
    </row>
    <row r="11" spans="1:7" x14ac:dyDescent="0.3">
      <c r="A11" s="2">
        <v>1</v>
      </c>
      <c r="B11" s="4">
        <v>75.764964065034903</v>
      </c>
      <c r="C11" s="4">
        <v>73.902103438676903</v>
      </c>
    </row>
    <row r="12" spans="1:7" x14ac:dyDescent="0.3">
      <c r="A12" s="2">
        <v>2</v>
      </c>
      <c r="B12" s="4">
        <v>77.309158781219594</v>
      </c>
      <c r="C12" s="4">
        <v>74.557891156801404</v>
      </c>
    </row>
    <row r="13" spans="1:7" x14ac:dyDescent="0.3">
      <c r="A13" s="2">
        <v>3</v>
      </c>
      <c r="B13" s="4">
        <v>76.064528610764498</v>
      </c>
      <c r="C13" s="4">
        <v>72.612827527568101</v>
      </c>
    </row>
    <row r="14" spans="1:7" x14ac:dyDescent="0.3">
      <c r="A14" s="2">
        <v>4</v>
      </c>
      <c r="B14" s="4">
        <v>77.4562021275853</v>
      </c>
      <c r="C14" s="4">
        <v>74.415604359496101</v>
      </c>
    </row>
    <row r="15" spans="1:7" x14ac:dyDescent="0.3">
      <c r="A15" s="2">
        <v>5</v>
      </c>
      <c r="B15" s="4">
        <v>78.751783652769802</v>
      </c>
      <c r="C15" s="4">
        <v>75.791955014383106</v>
      </c>
    </row>
    <row r="16" spans="1:7" x14ac:dyDescent="0.3">
      <c r="A16" s="2">
        <v>6</v>
      </c>
      <c r="B16" s="4">
        <v>72.867518366386903</v>
      </c>
      <c r="C16" s="4">
        <v>70.729107194678804</v>
      </c>
    </row>
    <row r="17" spans="1:7" x14ac:dyDescent="0.3">
      <c r="A17" s="2">
        <v>7</v>
      </c>
      <c r="B17" s="4">
        <v>77.438500666573802</v>
      </c>
      <c r="C17" s="4">
        <v>76.2210853768362</v>
      </c>
    </row>
    <row r="18" spans="1:7" x14ac:dyDescent="0.3">
      <c r="A18" s="2">
        <v>8</v>
      </c>
      <c r="B18" s="4">
        <v>74.057530104227496</v>
      </c>
      <c r="C18" s="4">
        <v>71.631340063799399</v>
      </c>
    </row>
    <row r="19" spans="1:7" x14ac:dyDescent="0.3">
      <c r="A19" s="2">
        <v>9</v>
      </c>
      <c r="B19" s="4">
        <v>75.674677238711396</v>
      </c>
      <c r="C19" s="4">
        <v>72.339987395761</v>
      </c>
    </row>
    <row r="20" spans="1:7" x14ac:dyDescent="0.3">
      <c r="A20" s="2">
        <v>10</v>
      </c>
      <c r="B20" s="4">
        <v>73.328793140944796</v>
      </c>
      <c r="C20" s="4">
        <v>69.857045129639801</v>
      </c>
    </row>
    <row r="21" spans="1:7" x14ac:dyDescent="0.3">
      <c r="A21" s="8" t="s">
        <v>62</v>
      </c>
      <c r="B21" s="5">
        <f>AVERAGE(B11:B20)</f>
        <v>75.871365675421842</v>
      </c>
      <c r="C21" s="5">
        <f>AVERAGE(C11:C20)</f>
        <v>73.205894665764077</v>
      </c>
    </row>
    <row r="22" spans="1:7" x14ac:dyDescent="0.3">
      <c r="A22" s="2" t="s">
        <v>63</v>
      </c>
      <c r="B22" s="4">
        <f>STDEV(B11:B20)</f>
        <v>1.9492667621934687</v>
      </c>
      <c r="C22" s="4">
        <f>STDEV(C11:C20)</f>
        <v>2.1209300234395996</v>
      </c>
    </row>
    <row r="24" spans="1:7" x14ac:dyDescent="0.3">
      <c r="A24" s="19" t="s">
        <v>81</v>
      </c>
      <c r="B24" s="19"/>
      <c r="C24" s="19"/>
      <c r="D24" s="19"/>
      <c r="E24" s="19"/>
      <c r="F24" s="19"/>
      <c r="G24" s="19"/>
    </row>
    <row r="25" spans="1:7" x14ac:dyDescent="0.3">
      <c r="A25" s="1" t="s">
        <v>82</v>
      </c>
      <c r="B25" s="1" t="s">
        <v>79</v>
      </c>
      <c r="C25" s="1" t="s">
        <v>80</v>
      </c>
    </row>
    <row r="26" spans="1:7" x14ac:dyDescent="0.3">
      <c r="A26" s="2" t="s">
        <v>83</v>
      </c>
      <c r="B26" s="4">
        <v>51.559499754993404</v>
      </c>
      <c r="C26" s="4">
        <v>50.834459920007099</v>
      </c>
    </row>
    <row r="27" spans="1:7" x14ac:dyDescent="0.3">
      <c r="A27" s="2" t="s">
        <v>84</v>
      </c>
      <c r="B27" s="4">
        <v>36.275878718714303</v>
      </c>
      <c r="C27" s="4">
        <v>32.615199829759199</v>
      </c>
    </row>
    <row r="28" spans="1:7" x14ac:dyDescent="0.3">
      <c r="A28" s="2" t="s">
        <v>85</v>
      </c>
      <c r="B28" s="4">
        <v>65.801347103950107</v>
      </c>
      <c r="C28" s="4">
        <v>64.158002672158204</v>
      </c>
    </row>
    <row r="29" spans="1:7" x14ac:dyDescent="0.3">
      <c r="A29" s="8" t="s">
        <v>62</v>
      </c>
      <c r="B29" s="5">
        <f>AVERAGE(B26:B28)</f>
        <v>51.212241859219269</v>
      </c>
      <c r="C29" s="5">
        <f>AVERAGE(C26:C28)</f>
        <v>49.202554140641496</v>
      </c>
    </row>
  </sheetData>
  <mergeCells count="4">
    <mergeCell ref="A1:G1"/>
    <mergeCell ref="A2:G2"/>
    <mergeCell ref="A9:G9"/>
    <mergeCell ref="A24:G2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zoomScaleNormal="100" workbookViewId="0">
      <selection sqref="A1:B1"/>
    </sheetView>
  </sheetViews>
  <sheetFormatPr defaultColWidth="8.6640625" defaultRowHeight="14.4" x14ac:dyDescent="0.3"/>
  <cols>
    <col min="1" max="1" width="46" customWidth="1"/>
    <col min="2" max="2" width="14" customWidth="1"/>
  </cols>
  <sheetData>
    <row r="1" spans="1:2" ht="17.399999999999999" x14ac:dyDescent="0.3">
      <c r="A1" s="20" t="s">
        <v>86</v>
      </c>
      <c r="B1" s="20"/>
    </row>
    <row r="2" spans="1:2" x14ac:dyDescent="0.3">
      <c r="A2" s="21" t="s">
        <v>87</v>
      </c>
      <c r="B2" s="21"/>
    </row>
    <row r="4" spans="1:2" x14ac:dyDescent="0.3">
      <c r="A4" s="1" t="s">
        <v>88</v>
      </c>
      <c r="B4" s="1" t="s">
        <v>89</v>
      </c>
    </row>
    <row r="5" spans="1:2" x14ac:dyDescent="0.3">
      <c r="A5" s="8" t="s">
        <v>4</v>
      </c>
      <c r="B5" s="13">
        <v>0.80420000000000003</v>
      </c>
    </row>
    <row r="6" spans="1:2" x14ac:dyDescent="0.3">
      <c r="A6" s="14" t="s">
        <v>5</v>
      </c>
      <c r="B6" s="15">
        <v>0.790008835784479</v>
      </c>
    </row>
    <row r="7" spans="1:2" x14ac:dyDescent="0.3">
      <c r="A7" s="16" t="s">
        <v>90</v>
      </c>
      <c r="B7" s="17">
        <f>B6-B5</f>
        <v>-1.4191164215521024E-2</v>
      </c>
    </row>
    <row r="8" spans="1:2" x14ac:dyDescent="0.3">
      <c r="B8" s="18"/>
    </row>
    <row r="9" spans="1:2" x14ac:dyDescent="0.3">
      <c r="A9" s="2" t="s">
        <v>91</v>
      </c>
      <c r="B9" s="11">
        <v>0.78979999999999995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sqref="A1:I1"/>
    </sheetView>
  </sheetViews>
  <sheetFormatPr defaultColWidth="8.6640625" defaultRowHeight="14.4" x14ac:dyDescent="0.3"/>
  <cols>
    <col min="1" max="1" width="30" customWidth="1"/>
    <col min="2" max="8" width="9" customWidth="1"/>
    <col min="9" max="9" width="10" customWidth="1"/>
  </cols>
  <sheetData>
    <row r="1" spans="1:9" ht="17.399999999999999" x14ac:dyDescent="0.3">
      <c r="A1" s="20" t="s">
        <v>92</v>
      </c>
      <c r="B1" s="20"/>
      <c r="C1" s="20"/>
      <c r="D1" s="20"/>
      <c r="E1" s="20"/>
      <c r="F1" s="20"/>
      <c r="G1" s="20"/>
      <c r="H1" s="20"/>
      <c r="I1" s="20"/>
    </row>
    <row r="2" spans="1:9" x14ac:dyDescent="0.3">
      <c r="A2" s="21" t="s">
        <v>93</v>
      </c>
      <c r="B2" s="21"/>
      <c r="C2" s="21"/>
      <c r="D2" s="21"/>
      <c r="E2" s="21"/>
      <c r="F2" s="21"/>
      <c r="G2" s="21"/>
      <c r="H2" s="21"/>
      <c r="I2" s="21"/>
    </row>
    <row r="4" spans="1:9" x14ac:dyDescent="0.3">
      <c r="A4" s="1" t="s">
        <v>94</v>
      </c>
      <c r="B4" s="1" t="s">
        <v>95</v>
      </c>
      <c r="C4" s="1" t="s">
        <v>96</v>
      </c>
      <c r="D4" s="1" t="s">
        <v>97</v>
      </c>
      <c r="E4" s="1" t="s">
        <v>98</v>
      </c>
      <c r="F4" s="1" t="s">
        <v>99</v>
      </c>
      <c r="G4" s="1" t="s">
        <v>100</v>
      </c>
      <c r="H4" s="1" t="s">
        <v>101</v>
      </c>
      <c r="I4" s="1" t="s">
        <v>38</v>
      </c>
    </row>
    <row r="5" spans="1:9" x14ac:dyDescent="0.3">
      <c r="A5" s="8" t="s">
        <v>4</v>
      </c>
      <c r="B5" s="5">
        <v>83.64</v>
      </c>
      <c r="C5" s="5">
        <v>89.43</v>
      </c>
      <c r="D5" s="5">
        <v>94.39</v>
      </c>
      <c r="E5" s="5">
        <v>89.86</v>
      </c>
      <c r="F5" s="5">
        <v>88.96</v>
      </c>
      <c r="G5" s="5">
        <v>89.6</v>
      </c>
      <c r="H5" s="5">
        <v>76</v>
      </c>
      <c r="I5" s="5">
        <f>AVERAGE(B5:H5)</f>
        <v>87.411428571428573</v>
      </c>
    </row>
    <row r="6" spans="1:9" x14ac:dyDescent="0.3">
      <c r="A6" s="14" t="s">
        <v>5</v>
      </c>
      <c r="B6" s="7">
        <v>82.14</v>
      </c>
      <c r="C6" s="7">
        <v>88.77</v>
      </c>
      <c r="D6" s="7">
        <v>93.09</v>
      </c>
      <c r="E6" s="7">
        <v>89.91</v>
      </c>
      <c r="F6" s="7">
        <v>88.41</v>
      </c>
      <c r="G6" s="7">
        <v>88</v>
      </c>
      <c r="H6" s="7">
        <v>76.23</v>
      </c>
      <c r="I6" s="7">
        <f>AVERAGE(B6:H6)</f>
        <v>86.649999999999991</v>
      </c>
    </row>
    <row r="7" spans="1:9" x14ac:dyDescent="0.3">
      <c r="A7" s="16" t="s">
        <v>90</v>
      </c>
      <c r="B7" s="6">
        <f t="shared" ref="B7:I7" si="0">B6-B5</f>
        <v>-1.5</v>
      </c>
      <c r="C7" s="6">
        <f t="shared" si="0"/>
        <v>-0.6600000000000108</v>
      </c>
      <c r="D7" s="6">
        <f t="shared" si="0"/>
        <v>-1.2999999999999972</v>
      </c>
      <c r="E7" s="6">
        <f t="shared" si="0"/>
        <v>4.9999999999997158E-2</v>
      </c>
      <c r="F7" s="6">
        <f t="shared" si="0"/>
        <v>-0.54999999999999716</v>
      </c>
      <c r="G7" s="6">
        <f t="shared" si="0"/>
        <v>-1.5999999999999943</v>
      </c>
      <c r="H7" s="6">
        <f t="shared" si="0"/>
        <v>0.23000000000000398</v>
      </c>
      <c r="I7" s="6">
        <f t="shared" si="0"/>
        <v>-0.76142857142858134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Table1_STS_Unsupervised</vt:lpstr>
      <vt:lpstr>Table2_STSb_Supervised</vt:lpstr>
      <vt:lpstr>Table2_Seeds</vt:lpstr>
      <vt:lpstr>Table3_AFS</vt:lpstr>
      <vt:lpstr>Table4_WikiSec</vt:lpstr>
      <vt:lpstr>Table5_SentEval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Madhav Mantri</cp:lastModifiedBy>
  <cp:revision>1</cp:revision>
  <dcterms:created xsi:type="dcterms:W3CDTF">2026-09-28T04:24:32Z</dcterms:created>
  <dcterms:modified xsi:type="dcterms:W3CDTF">2026-09-28T09:02:56Z</dcterms:modified>
  <dc:language>en-US</dc:language>
</cp:coreProperties>
</file>